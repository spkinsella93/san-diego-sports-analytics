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anKinsella\Downloads\"/>
    </mc:Choice>
  </mc:AlternateContent>
  <xr:revisionPtr revIDLastSave="0" documentId="13_ncr:1_{D91C1460-8A1E-4A5D-AFED-81B6A5683975}" xr6:coauthVersionLast="47" xr6:coauthVersionMax="47" xr10:uidLastSave="{00000000-0000-0000-0000-000000000000}"/>
  <bookViews>
    <workbookView xWindow="-98" yWindow="-98" windowWidth="21795" windowHeight="12376" xr2:uid="{00000000-000D-0000-FFFF-FFFF00000000}"/>
  </bookViews>
  <sheets>
    <sheet name="Teams Data" sheetId="4" r:id="rId1"/>
    <sheet name="Valuation Method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8" i="4"/>
  <c r="I5" i="4"/>
  <c r="I4" i="4"/>
  <c r="Q9" i="4"/>
  <c r="N4" i="4"/>
  <c r="S4" i="4" s="1"/>
  <c r="N5" i="4"/>
  <c r="S5" i="4" s="1"/>
  <c r="N6" i="4"/>
  <c r="N7" i="4"/>
  <c r="N8" i="4"/>
  <c r="N9" i="4"/>
  <c r="N10" i="4"/>
  <c r="N11" i="4"/>
  <c r="I9" i="4"/>
  <c r="I11" i="4"/>
  <c r="L11" i="4"/>
  <c r="I7" i="4"/>
  <c r="I6" i="4"/>
  <c r="L4" i="4"/>
  <c r="L5" i="4"/>
  <c r="L6" i="4"/>
  <c r="L7" i="4"/>
  <c r="L8" i="4"/>
  <c r="L9" i="4"/>
  <c r="L10" i="4"/>
  <c r="L3" i="4"/>
  <c r="N3" i="4"/>
  <c r="S3" i="4" s="1"/>
  <c r="P3" i="4" l="1"/>
  <c r="S7" i="4"/>
  <c r="P7" i="4" s="1"/>
  <c r="Q7" i="4" s="1"/>
  <c r="S8" i="4"/>
  <c r="P8" i="4" s="1"/>
  <c r="Q8" i="4" s="1"/>
  <c r="S6" i="4"/>
  <c r="P6" i="4" s="1"/>
  <c r="Q6" i="4" s="1"/>
  <c r="S9" i="4"/>
</calcChain>
</file>

<file path=xl/sharedStrings.xml><?xml version="1.0" encoding="utf-8"?>
<sst xmlns="http://schemas.openxmlformats.org/spreadsheetml/2006/main" count="142" uniqueCount="93">
  <si>
    <t>Team</t>
  </si>
  <si>
    <t>League</t>
  </si>
  <si>
    <t>Sport</t>
  </si>
  <si>
    <t>Level</t>
  </si>
  <si>
    <t>Venue</t>
  </si>
  <si>
    <t>City</t>
  </si>
  <si>
    <t>Status</t>
  </si>
  <si>
    <t>Annual Attendance</t>
  </si>
  <si>
    <t>Avg Attendance</t>
  </si>
  <si>
    <t>Venue Capacity</t>
  </si>
  <si>
    <t>Venue Utilization %</t>
  </si>
  <si>
    <t>Avg Ticket Price</t>
  </si>
  <si>
    <t>Est. Gate Revenue</t>
  </si>
  <si>
    <t>Published Franchise Value</t>
  </si>
  <si>
    <t>Estimated Franchise Value</t>
  </si>
  <si>
    <t>Selected Franchise Value</t>
  </si>
  <si>
    <t>Valuation Method</t>
  </si>
  <si>
    <t>Notes</t>
  </si>
  <si>
    <t>MLB</t>
  </si>
  <si>
    <t>Baseball</t>
  </si>
  <si>
    <t>Major / top-tier</t>
  </si>
  <si>
    <t>Petco Park</t>
  </si>
  <si>
    <t>San Diego</t>
  </si>
  <si>
    <t>Active</t>
  </si>
  <si>
    <t>Published / transaction valuation</t>
  </si>
  <si>
    <t>MLS</t>
  </si>
  <si>
    <t>Soccer (men)</t>
  </si>
  <si>
    <t>Snapdragon Stadium</t>
  </si>
  <si>
    <t>Published valuation (Sportico, reported by Reuters)</t>
  </si>
  <si>
    <t>NWSL</t>
  </si>
  <si>
    <t>Soccer (women)</t>
  </si>
  <si>
    <t>Published valuation (Forbes)</t>
  </si>
  <si>
    <t>NLL</t>
  </si>
  <si>
    <t>Box lacrosse</t>
  </si>
  <si>
    <t>Top-tier league</t>
  </si>
  <si>
    <t>Pechanga Arena</t>
  </si>
  <si>
    <t>MLV</t>
  </si>
  <si>
    <t>Volleyball (women)</t>
  </si>
  <si>
    <t>Viejas Arena</t>
  </si>
  <si>
    <t>MASL</t>
  </si>
  <si>
    <t>Indoor soccer</t>
  </si>
  <si>
    <t>Frontwave Arena</t>
  </si>
  <si>
    <t>Oceanside</t>
  </si>
  <si>
    <t>IFL</t>
  </si>
  <si>
    <t>Indoor football</t>
  </si>
  <si>
    <t>AHL</t>
  </si>
  <si>
    <t>Ice hockey</t>
  </si>
  <si>
    <t>Minor league</t>
  </si>
  <si>
    <t>NBA G League</t>
  </si>
  <si>
    <t>Basketball</t>
  </si>
  <si>
    <t>Is San Diego REALLY a sports town?</t>
  </si>
  <si>
    <t>Stadium Latitude</t>
  </si>
  <si>
    <t>Stadium Longitude</t>
  </si>
  <si>
    <t>Home Games (Regular Season)</t>
  </si>
  <si>
    <t>Inactive</t>
  </si>
  <si>
    <t>Average Ticket Price</t>
  </si>
  <si>
    <t>Variable</t>
  </si>
  <si>
    <t>Methodology</t>
  </si>
  <si>
    <t xml:space="preserve">Average of non-club level low/high multiplied by .75 discount (15% to reflect STM preferred pricing, 10% to reflect generalized stadium proportions) </t>
  </si>
  <si>
    <t>n/a</t>
  </si>
  <si>
    <t>Franhise Value to Gate Revenue Multiple</t>
  </si>
  <si>
    <t>Valuation Confidence</t>
  </si>
  <si>
    <t>High</t>
  </si>
  <si>
    <t>Medium</t>
  </si>
  <si>
    <t>Low</t>
  </si>
  <si>
    <t xml:space="preserve">Gate Revenue Multiple </t>
  </si>
  <si>
    <t>Major League Implied Value</t>
  </si>
  <si>
    <t>Implied Value Multiple</t>
  </si>
  <si>
    <t>Average of (3) top-tier published valuations over their respective annual gate revenues</t>
  </si>
  <si>
    <t>Annual Gate Revenue by Implied Value Multiple</t>
  </si>
  <si>
    <t>Minor League/Affiliate Value</t>
  </si>
  <si>
    <t>Benchmark Comparables</t>
  </si>
  <si>
    <t>Benchmark Comparable x Inflationary Multiple (if applicable) x Observable Attendance Premium (if applicable) x League Expansion Premium (if applicable)</t>
  </si>
  <si>
    <t>Padres</t>
  </si>
  <si>
    <t>SDFC</t>
  </si>
  <si>
    <t>Wave FC</t>
  </si>
  <si>
    <t>Seals</t>
  </si>
  <si>
    <t>Mojo</t>
  </si>
  <si>
    <t>Sockers</t>
  </si>
  <si>
    <t>Strike Force</t>
  </si>
  <si>
    <t>Gulls</t>
  </si>
  <si>
    <t>Clippers</t>
  </si>
  <si>
    <t>Logos</t>
  </si>
  <si>
    <t>data:image/webp;base64,UklGRloJAABXRUJQVlA4WAoAAAAQAAAAXwAAXwAAQUxQSPwEAAABsIZtmyFJ1hsRWbVGY2yubdu2bdu2bdu27T227TP2TEXE9/7ojJjKr/LgZ0RMALIdsObNP5ourFqmfu/alQEH9Q5jnm5R65wHB8Npc9hhMhmiBomB/PtGcLoctov01Os5ez1YVWbUdAnUHPiP/tZqwov0TEqsVMroeT+cpjViZDKw4lAmsTUaVtEdDInI+OffV/inwFhCzzNRKPo5Y1nkc8sv1KhwoeXeYSwJ8gacolksD3wXVS/4G4l9In9moJjJyE1N01TaxPn0ZX9swqgTynhYVFqYAzosVofz2Ko1i68Y6sxhB6b/VEsGI5dfbvm+yy0/3kCxns7VZGxmp5lCrzOdods6fRYj77y9+jvvvPPOO64/bdtBgLHajF3wF9Q79ZXtAacMBfaIc73SSPKDVeCUGXRNplCphMA5R8DpgsUbDFpIBuHZKHQV5nx6RRTPg+F0YWeGlK8wJChhztLGarJYjZKqVGIZA9+DstGeUhYeuPmWm9t87zdkLGPgRnCKDAbPKhPOXRwVbvwzxjIvTysbODNjdNEs2m3R+yuJJcIJi8NUJeNNe4bDou1NbMIyCteDq4aBW6NpSq0ZlDPCOJM5P7D4MWOJ5yEo2jQn4wuHdG/OYGS7wuQVeII+cVbbfk0pYeQHG/bv7u7q6uruWnpWxgpdPV3l3YtbAG4+Hso4v20PMpQxklMnlU8RpqdMyvz3L54/tAvGZD2sYCPGBINQ4V9PAIwuvEefICWdI9kxePKVxWBUmeVbMaY0SoufLOiMJoeDKEEROY/3w2mCwyHzGHyUqjPouTGcJjis+QkVipdEkHdhVcEB2zz8y+k+VOqZKTJvJKwqWABu4OgxVY4du/qVXqSEgfug0AU4B4X7MpZ5XqgPMMbmmhxjy10DnzEkru+E+XQjR6ULJAtzC31NGAyc6lvee9/yM4fBJnBzncxict7wmpohUUQkypy6mkkhSeHc/wOYzLpqZ800F0/3NOrpgAn/nDBhwoR//+vfXyxiTB0dxfRJKFBHh4sXEYlx3ijYWjqCgSQjf+1g6izwHVjUmecjKGru1tq7vvauq71rTWXmxg57DI2KGnimMw5i7CMyeQicdX0LNzhnpGs455x1GDlNJHGlpk0pfRj5/ZWQXmxGRg+Sq/6YkYljNfWbROlDYfj6nbfLPwpMxo/ffuftt99++51vIoXlwjXh9OBF8SWMrDqyPMqvG8Yo2oQJSsjMCWlh0vMkFNDj8CJbZVoDf7agNYqs7f0dW5o8Z60MC0WwGPdrhiA6JHhO3QwOqmDR/xmSEnxmyAk+M0SSny4HB2WwwBbPT6TKGe/vAziog7FA73p7HZx50lxKH6E/7eBDDk7uu9kQABYdADiH/IVmpOYugXzrkK0JMK5IN4ohMzNGFc0i7SzmU1e2wcCc4bBo//8A5pGMc2vJ4iOGxHF15MywWSIlgdvCdchI13DtLgyeZmBf4ZyhsJoG5fSgwgVuZWBpkM9hoddi+NxUa9f1NlivvetvdfbPGVnueQQKVctRaWB5lD8vYowih80ZUxLb7yOTLe4FB8UFjqNPqWzxETQL61DoeViVtPjBAhaaDRq/Y1Qjnnx5YRTn33n8MbhMicM6jKIzhkjOOR+w2OaTDeYdSzWPU6h24n3LwBiD0Y+M+OV3f63DYvS/pk2bNr36adP+/dNnjx4OOMBg6fuXf2KjN3IAVlA4IDgEAADQFACdASpgAGAAPk0ei0QioaEYevdIKATEonAtgfNb4BqsSnDEfth5pzJ3e4C/Rb/iN2xzvHoK/2O+x+gB+gHWd/vB6U7RdXCe3RFmMlhmd667uL7fvuJzsDSZ/ULOiRUh8hgUxmnFiPMlYGi5Mrwjc+hzw9BCKbLbk/IWJfI67r9/K5F9bLT5aGAwmJHuocy7k3ejEGrdFbvJ/3gT0VNCkxaUqM1F/iBpo8k13n2AAP79QH//wcEzFLSv3yuH+cLq9e5uDwoKmuTrpXBsS42W8qHsjHCpJuS348F0BX1y8do2YQyuF3FfdV49o2k7iInFf38f8PzWnoZQoUrHh2Y4Bb7tyGvHj5FZIc42UO8z4rAGAGfFMySo33Rx+KyMoQwtxT4fa/55pzc6UfEBLTuv/7vr2UVAnFsJkY+RLH8fUpYi13eCiy93Mf80ngOMGeAX75uLtJROTtyZMbNDZqKWjSvcJGrH+hZlu+PrNHr2AX7yQQ8uZDkn6O0NQXgoKzZYYbo3b3oZ+aokADThcVZd4747tVDl0wE4JU1ADBMbLWonGPAoX1q0DDjasmhKkfx+aFGJOz2Kj1JZqaxG13uflMfEvfdNpgdf/p/lrjzSdObPELFhrZh+CfQLSsT/PCPaHhB8T4HQN4HvPjHrKx6cHTgMZk2bK1k0wfyu96jmX/K3nZ1OrhSHSfIeVonnq4ADUS4FVwyl6wp8mScod8EOJ7/2GfxzN3z6y654de1zOu62JVac8rC5rKAv/W/3DXLDjPkQoLPUf4PDHL111iRhuXaVEyQQXo5v4P18dx5NvHn47VjGpdjk8gcnslsw2fCedWZR1YoZdiVwVTjktAbm08mlZN3hWljsRt4L//zc7083G03YyuhBn1iXG3cWD195ZCExPh5N3i19maioUOJakgmweD3g5o8/TwdNSiiLSv0r4xPCZhtg0ZOT0tFXbU2ZCUA/nSbcKRizG+aABfvv73wVejmL3LJIzbnTLzn1cwzmSqPg12HCxQCZAOKjJ4puI7l5r6+nZggXxqBvYeJvaMnGiRtmaeW3qHVT6Ndv3w1g6OzQcEZX8MJiV7G8RhhqZLcVhIIa6crasd2/VAN1qPw7NtTSPLhiRrTQmmAg3a3sWDUGrovdU+nqwWWkxUoIAbGRfgzYdOED1mVG0cx6S7q8PNs4U4kWtYyjLFdqqX8LnkutPp/fc2V792je1LLHuTp+P/v3fvQn2Js1ggmXYfmFXAVTYX2gh54mPKG/+sAe6BeGyry2gazYzRWmuXD8Qp9G18c8Hd6zc1cRNeG5UReXLQKAi4PqFF3y3fG2GDbncv2IbOtMKcZd3qUxCZV5Lfm+iQEMb1+9HWN+93QpMjvI3e6ZvGHMtf30hFy9yWyt23V3MCptaL+SB/d8SjAbrMK0fte9yQ692W54BiCRkaFvvwDcAAA=</t>
  </si>
  <si>
    <t>data:image/webp;base64,UklGRuARAABXRUJQVlA4WAoAAAAQAAAAXwAAXwAAQUxQSMsCAAABoHLbtrK92feeG2a0UK4KJ7LMjhl/QDiqo6/9ZJm5LqQTV2ZmZlTchs49Z4s3cOEZtY2ICUDVIClJQM0gKUlAlyGmFHHEaUtWX3zL9okHdr38xpFf3vXAxPZbLl69ZBqOGFOKoa2YBOOzl18+2vH6j4dZ+vCPr+8YXb58NsYlxVZiCgDiSdfd+cyvPLJnHc925Kzj2XnkX5+587pTEoCQYgMxADjx2sc+PszxrJrNWdotq2aO66ePXXcigBBrCbB29MpBksyanW161kySB18ZrQWkjuD0fSSZ1Zxtu2kmyX2nQ2oILv+TrtnZp2d1/nk5pJxgvVLZt1LXQ4rFKZ9R2bvysymxGK6ksn/llSi/xwfB95Sb8R19AJzfzSg295eB+GVusTk/D8TPc/7333+X2T8OxI+zi4V3aANgfCcUw17mAcjci/IPUQdA+VCFDQOxocIZtAEwnlFhwV/07pz7F5eLeJG5u8wXEItNwm3U7pS3Y1IxwQrz7ozrIMUQ49ueO8v+rkSUT9hE7Uy5DalCxMLf3Lty/20xYgUk3EftSnkfEmrGsGy/eUdu+5eFWAWCCWpHygkI6oY4+wezbsx+mB1DJQiupnajvBqC6oIdzJ1k7oSgfoizv6R1YfxmfowNQLDqQPYOPB9YBUGTCVdTvTlXXo2ERhM2Ub0xV25CQrMJm2jWlBk3IaHhhI1kbiiTG5HQdMKlf1ObUf59KRIaT1j+Hs2aMON7y5HQfMLMe8ls1SyT985EQocROP9NMlsVy+Sb5wERXQaB3PgFadkLeTbyi1sFEtCrADNuepukWgFTku/cOA0QdBwEiJfs2U+62jGZOrl/zyURkIC+gwA4efQuSVc7gqmTfHd0MgAJ6D9IBMIZd3xOkqpKkp/fcUYAogQMZEwAJp9550cc/+jOMycDSBGDKglAXLn16a0rI4AkGN4gCUdOEtAwAFZQOCDuDgAAUDcAnQEqYABgAD5NHIlEIqGNHm7EFAJiWoAwu+mTDfD799ql4L3i/LPoW/Y72VeYB+ln6j9cv9lfUB+t37Je9P/rvVl6AH9y/3frT/8j2KfQA/aT0u/2++ET9sf3K+BH9cv/peUP2P8YPNH8Q+WfvH5D/2j/ye2v/O+APmr/Qeh/8m+0P3z8nv7b7b/4Twj94v9H6hH41/Kf71+WX9s/bvjNq6egF7AfPv8f/af3I/xf7ge1xqTd+f8T+Tv0AfzL+c/438vv7d0D3h/sB/yL+t/6P/D/ul/sPpb/kP+z/if8p+0Pti/O/7p/yv8l/kf2Z+wf+Rf0j/Xf3X94/8X///qo9jn7Zex1+zquNflkg79wvoe3xnk0/tmZzeuxQ6IWWHn4hesSK5s8cRUTDpGisR227Q1/dSe/Kk1JB/LE7YnD4ggSou2NPYGzTWH+8/A76DngOg7tFRmR3T1HNOLx/C0Vt2hqUaTVr746yMd2uCeqsodHH298JdYPdB3M1f+pHXYzLhV9WvOI0xE98duf6vtX0qJbereCr9r7H3WkIKkBFNG2TcU9ycAJMWiE64h+/rA9fVJ96IuIfC7cE9hJSy7AAAD+//5OL3/9xmlJ6V47HHj963wQiluDsJI+25KH5rhrS4FS86A3e60hixn9uHmrHhZ/OQT8SJqOH+F2e3efEk+uGkpUzpQouwm5RrJnuEdo5R12BZmH6hT1SATdcKdiYHUjEInVUnQ5+92/O6jwyclFx6sc8+zRd3ByDDD2MnhHajUUvVeW5p9a2VMVpbn8INNY/6zTBBhU3+Z8rbG9pbPO/dWxkf7TchZtaRPWyadLFu5IuJFDRTKWqSHX/0+FB+EvRwOV0beon7vvpIiq8UWj7lN/4bl9VZ9QyvZ9f7ODCubYG+Mt3su1+otuEFsRY5t1xS5Npt5KMfhw+x3qhyuIXvXPrLMNMqXxrG3WUsTd0Nj7G2IYzp/0v3XGjCJT/tVFej725A0jDyoXXq/9TqCH5yxT9y+zvteHVOeJP6NIEFob8HkTOC4iy7DkD6QpCHSdAXagz6BKLH5RXxQBh+KxevluQIWNfc6H/QZZZut0BzpyLUjhCQEa4zBT8cb1u+idKq1FAB0BbmuLW5hfdJjwJW6TrBdby/1IAVxkmvtiO4wg/Er29u2z40PNpD/LktHaXPDEVSNAKk9lL4rRPi8jCSqa1KaKpex4Oss+N1XdgODoPbyajh1+LN5/1vAnkwMuYQaur4OrUCKBcp8fPnfn+kNh681Xfj0GjtPzs5hVtrx5y8cEFekYwpUyLqDZ1QjxfjTwMXTBb5ucPhxlr7edbFod3sxrZKfviXTW/ZBeEE6zuYwePy4bMgOgUq1vkn/gh0ihV1MudUARgHdHH4ZCeXNT2g1Rtn//E7hb3IymZHP5cXVCzRJJ5qXC8cyjVv5ZGmtOG9J/aUwR4RmXfDTbiyLXX//36uEZs0ib1I2j1axXgiP22K4vEPTgCDtanBM+A3fEruL+whH58Q3utCBcKTPiavN4/1YdYJ9CUGtUiw/gf3BpbPTHH5FiJ9MBNPgJNyMg9yHRIj+ao+0alP9DPPSyaTmdRnRD5lEQNzILAYwM7dNa9un8hbcvTcOGejtiEffU8km4u+tIm90YSw+uAsgUHUy3puKn+IWxlnLW6qnviy2bJ+G9EgsM/o9UWHJvPnxcAxb0QLGcOUMOneq0CynhGZMmtJAjz8vRk6NJRrYtdADYPohe9ai+yWtN7PmWTpQpBBjLws363bIv/ZU2lHncKhOPjmmhU9TCktZIl98IxcUeFzTIv/yzJDGC+uuXAsLf8tHV+BUFKE5BN4fw99yUn2WlVIlainXoMIUBfUKQZdKltGkghwu+t9Ec6Lkjiue/lW+fftBtdvTCWbBRl2/Ui2vIVPOdcFarvJKIXSJ6V0ZixQAkhqqI6JSJBLjnrN4LURx8ZVANzYN6r5txppujkZCTe9E6h3cSMGtg7dRk7IUD8LEwcCBDhInPCs+1mdnK7K75S9/fX/3ILlMDSf0rlbkMwhegnOrcq7x9rRYUewjcZmFEbXodi8f74aj9lYmlUI4g0hj3z8v1n7m2EfB/OgGjvw179Ep2zDDqiS+VXVjFIQdILZH4gPjY4KvG9BM22nTTttg4eYuD5HghEPy4dIyPJQliF14fW7E83IAFCLI6x2aB+VyFunVj4nWSrQq7HZAETj7meLtP4eEAMnrP1ZnrQoSgIin8QVtB1AT7iqd5+wAxj0oMIm+zTmlobiOxOJ/ERaG7E75GpAAjObnxwmlLlxir+LB0w6p6Y2dxbOMHZrnthTgb1A7UE2XVS/U7CkcbKHAJyknh5m9V+mnPGBdcKJFZz9d0eVHWv9i1i3yhKAo+BoUVrhyeIJekmkBp20eELXpHW7hlG1qLB+y7USBgUPq/Obz2jhah3vAvwOKVINM/KuX1SJ33mdFlDBZ6PuXyttp0L792DFMZ5rLvk+Yed+un9fFPKaDZnEYPOgUFWyJ/grhvVCeZ2YaiIEAOBn+h4NNQ/mSs1nvKGXXSYxYPUdKO0jk+JNoDFHh8RD9tpJPM3H/lKkqNcSr2plnfUhYHnmB7GZiHKFQfe6k+1R7WRTm3aPT5ESd769d0BULUOmhKjsm5KNcZASD8WZFknI/9DA7J7FmV86s/Am6nPshDTybebw0XG/x2TiAVd6gZBZaxY00gIjM3X7hMoDLKhCaPBFTbubFdA8dovTW5vMNJ/VXxYVHShrYy5D8mf5NNaDL+cM8UUMRyhIcTIwn0HW3Eiy1bP0VG0l7RkRoLsnTEEOXDlfC6VAb/Rs3o+GwDbIfEo+mkjrdzDwZ0SLvNtTs9LdGS/4//zvar/c82Sn5ZzYfV5dz4N+GoT2dLNhhRBF/IOuG60VLck7doPtQVfIA4R2GTKDZ29hNfT44XUtHRXlKHv+P3EldSar71uU+ikyfWUT9bo9t5KSeamSm/xCiwYm9aTWCO8vNpMeBFyDoaPfj4ubD0O/ngy5QsBfNiUZFUuEf0lmPVi2Kkpsa5vNhHXHYDS8MvmUVV6i9SudfwYhIWJaW+g5CT4YLBfsrITgHLRu6tE4nRj1Z/6Nn/wjVQFo4d06fH7jQCfgwMPK4IUG4cSNHvTFrQvcc4G3v2kkqHCQ4+jWGkCF2cfI0p1PSROpzj/NwYsrk4lGsKZeeL16FoqtRvPM2VgwwuX9qUIBu8KMhtkSd7QeLwRv2VBwFU1bGRjkXaunbfJ+JxFqE9lE+ZtYfiF6EYtjNGHc4Ho8QVmHGVwMRQXiPILzrgt91dgQXoKgCM4lLXQ2NRmphtxPXG1dcQQzzZm6qCV4mmQe/05IlghtFiYrgzVCyjuyEkd3CaTEXBekWKq72G9RnXoTnLGZMeGVA5ZHg2M5IkUj3oCUiPTvKqYaxiDxV7sZ1/5/GpMBWnce4dnoFqfhjPdi3WoICPpQhYUmnarqwXtQmDjjxLGKwkhsJX5a3glL0ftUXGjgMJUfer5gz6FgndC/DVY/09KDTZ4O2LoRtRfNSSzv0ziyq6BdezZVwNMCQnU6XLnwhw0Zu39G6/9A4PIXzcjlJFXONPTLifMn5MF/VV+Jxr7qwc+7phFO53wA/IC6YB0yU2iTuSzhrRlIreIcxb0v7R9Fn0NslPR+i7KKT3MIE2CRd8xikmcXa93lyc8UsopUjM227QTxpYyUh0PM0D7MEBI/NSg7Z1hoEwc9NNr8NJWnxGCXYptKEtyUdY6Q5LiY9XpNP6f/aIY+WTkUJ9tkn9ZIS7uK2PPCdCl2wyQ0Dkk8LroF2Ts+wc4mXrw2OOrA3cmQaHWeFubJWlkCsM7j5RY+ZtxVoMn/DM6yU/jVfP/cfGQWy954bgyyYyQEM2Eht61Y0LMosvQxAg5kBV1tNTousAYDcEggWjSzjsSwPDQ88TE7RoVuJ2Ww4DaBl5YCLtB7Fw/MtdYs/0krdsWlfs6wgp0pHwXsCFIcnMOs9c8mYscVELKLRtgy7zMQFV+XX+jWu18L/xzi8d0X7gQLpjAxGSBIQbxbmQ12kIRonoE/vhCN1DcDbhodNF+5FCor+3cdnFnQ1v1yfvX+DcYAzrJK3v7pJ/RMi2b/u2B7813Y3RG3PZpbCNJ2opI3hZkGW4A8xwK8dNDiVS7s/igho9LMbyeRqkhuOGz8z78ynWxEEZHSFntU4TX3do5pzFagDtIouW25Vv/XtmhoqilofySbTWJcWulV/phW72SBfZbBn+aVFS6sx0uNbkSei/1T91AKe2c1Wthc015OMe096t7YhMsJeBLJouv3W5+H3qICucbLc7gGOwdv7HnEtLq7eNzji1braZueK1loBjfAULP6zdujoxbVX91P0gviKtpay+CElKvri2X4Gat4Sr2clV61ZTrLO+waAf0nBuMFfc/SY8xynwWzINihoKrgu1oAYLFB/+G7DmhWWctmhd2aWOxhU0w/xGkw70/EgRufYuSmBb/+NNeDsvnxUSW8see6ASeZJPJpX1wTCuC4JrDSxsHjzcJYQi+9+x7RZSqcy0w6/VORr5Js4jldJFI/UXPU6LEHZwwj4Tsu46y1Gc2uWuM3j6JGvkmyZhZbpJV/jQ1t7/a5wMszEbboqz7Xyn/Opk4WxslFA5rCKnOBkdTIwahjyihZEcj+oUNiB8VZTdx/g0SWVp9rsdVrJzBzn7ps1igW9e+PVhGTM/cvzdzUAut4+31/XWXKa8JbSJOvfIM98WE/jCKl8MXrLrc+TCHC8seEMfEYuqd53ToUttbBCLZm+8f8PhJWd0KnnSQjSRwsZElSUt/WwsynwBABqkELMbEZkzzV4kr5lISWsDXiyJmptJ/vfCqQSPQplOwA6JAwqxdrR/zqyiIL/yLW8QokcBadxTdvKDuYZClJBsVTzJR17wUFD0vL8Iqvm09MLObnoP5ueXgSnC8BD7dH6uAj7wp0oDOD1kMTw4pongqJHEebg1sp4Nkj/4+6GVEK3kkq633itlrkwCFJNcT0pMdLMLQbDrfjnM7nUZEeAYvxBkRTq9bGh/j779xUMYt6d4FrAJnLHzeHTEBiZV+TA8uXo5Q461v/8bZl1gAAAA</t>
  </si>
  <si>
    <t>data:image/webp;base64,UklGRgoQAABXRUJQVlA4WAoAAAAQAAAAXwAAXwAAQUxQSCgDAAABoLVtmyFJeiO+WNu2z2zrzLZt/gDbtm3btm1jbGV83/euNyoyjveKiAlA+SAp4q/TL7Xxvide+9hbXw8ZO1mdNnnskK/ffvz6k/bbZOkZ8NeYJKD2kAQAZl1t/4uf/XYii0/87rlLDlh9VgCQFCsKEgHMsuFxTw3l37qpmrn/k7uZqjn/dtjTx284C4AooQ4RAAvueecvJOk5qzmLu2nOTpK/3rXXQgBEBhYkAHPu/uBYkpbVWaVrNpLjHtpjLiBIGEQQAGtdMYSkqrNqVyU59Mq1AUgoJsA0O79AUtXZQ1cl+cIu0wASiggw/UEfk56dvfXs5CcHTw9ICaT9PidV2XNV8vP9E0pu8Rapxgaakm9tWYJUYyNNyRJmbKhZCTb2/6hZW6xE15auxPi2jC8xjN4O57AS37bl2xLv0tphfLfEk215ssT11HYory9xQltOKLEHrR3GPUqs5WzpWiXmHUVvhXPUvCXCu7RWGN8NJXADcysyb0TRQ1pySJkV6a1wrlhmmh9obTD+ME2RhOs9tyH7dUhltqa2QblVmYCZh9Fb4Bw6M0IJCK5ibkHmFRAUWoPWAuNqpRDD6679U38FEYUTtmcLuDVSqRCn+ti1b+ofpIjigu3YP24JKYcYXqH2S/k8BAMUrOrqfXLV5QcDwQXMfco8HYKBBpnhK1p/lB9NK2EwEKzl2fvi2q0IwaATjmXXl44HIWHwCdey60fHS5FQYZD0NHMfMh+JEmpADDO/zVxf5mszhog6I+b+kLm2zPfmQEStgnnfZ64r8525EFGvYI5X2NXU8aXZIahZMMP9zF6LZ947PSLqjsAFdKvDnOcDEbWHiIM65hoy80GIAfWHhLW/YvZBeebXayMF9DJhzttJHYySd86FhL4KcMBYZi/nmWMPBgT9DYLlniK1lJJPLYcY0OsEHDaSZiXMOPIwIKHvMWCx28js/8UzedtiCBENTMCm75HZ/41n8v1NgYQ2RsHURw8h9Z+UHHL0NJCIZgow3zkTSf2LkhPOmQ8QtDQkYLkbSJqRfv1yQApobBBglTuNzLetBEhAg6MAG7zy/LqARFQMVlA4ILwMAADQMwCdASpgAGAAPk0eikQioaEY7GY8KATEtgBlsuit/zS/AeZtWf6n+DvyT5a6dPK45v/4H5VfF3/Q+oX82/733AP0m/yPpGfrN7mf279Qf84/wH+5/ynvL+ir/C/3v2AP6d/qOsg/Zz2Cv2i9Mz9ufg4/bD9u/gV/Y//7Zpn2mf2f6kvX3xK+avbnk4vRfbn8z+XfJH8FtQL8c/lP+L33EAH5j/TP954ZWpH09flV9AH6q/738tPWR8HbxH2APzD/xf77+TP0xf0P/m+7D29fm/+N/8H+L+Aj+Z/17/heuh7KPRR/aZwnHyMdjKvM/8YZ6YmdcXI+WPRTODSh5iyj9UHbgiZ2eZvjWXnAG6gsvc6dmBN0M4UH75Vn+RfPv1JfK7ODWWSlmB5VrY1/o1CSnSa65CVvs/7GhbaVCY2tnG/yPZRY9kr/v7cUQ/LTkYtAImWR9mzm7jtl8EsGeTygIiH+kFECrl+WBHyMjbVjCngKTWpEH5pXiZ0kJgeO6qg5tYHtl+KoZP69kp6s8RthQ9QMr5GBCk/OzRl7S5cBuWpZZUlBqAAA/v/0Haf/5PlR0Xy9/+MPLnrlE2EURvM4A0Vk1yokch9Fq1l5/xNxjUx0Yrsxji7u8GgnddfxKtfpf3nnQDBOJNKeJw02hNm/lvRNX8XllOLjgTSzyAjdAI6sFoVaov7X0jkuokBnhsIgDYaN+qOec3YsMk68rQodPOm/Ujbzn+SKp/IzQ/gU8PYL4l6ruvlMthH/4ZkrSbBr0Fm6tb13UNThqpHG+dUJrUXnVCz3xIXeSNlZK7QlrhgTZj00r5PQQUIrpVerw3sVfzWrg4K2s3i9v4t2uxglFBRsD138083li36+T7tQ3RO7el3V4Z0rYEPqayjDsPll3k2SUzMe3zkvFCkmSz4j1TWClVlyThsCO3/9Rxje8NMxaBaHSlz3TFZVGPofNWWejuvUG0/j+HJT+4tObTwmuh/NdimtqbDMuP/1j/7Cclvg7gJ96TbYiETCoWwVEAeZ894Zkt3+du1Il1zpxlupD2Sd2pRElbzJ+yzCbjg68jDBtoNTKknRVtP18YurparzS4JC94unecEZ8n0FrI0PQs1sPBmWFvrpvNaK4NSZnsY4ixUcZ9GjRv9NwpVL3SZO8LLE0PjpuPLyDmiIAtwcnS44/cCSNSqKjc+Us8FxfxHc8LOJ/mhZn6/Wj1VVjzfNwcNylNGD+5M43M82muIZvl109P/hz/TaX1B+FpBAcJK/7q+JJ+Q2STtNK//1I0rCNARuVYX9IvZRdGA/nGlerCJY7AqPrxnNnt2w7yUr8EQeK2yUaZsQ979Mwx+ZrzmwLjzejQtwcHh+bm2R2A3+d7H/4PQMuYa0eVbmaMKHa3VHKMM6F6wOC7apV44Qfj3TnC/QFMJjJf6dXPCxeqQbiba710waRpwsUf3cpUQVDrn3/N2nOm3qLBYCPiY+n7MxHTb1GD3yVBKxpdBCnxcdroaACmaWpb+8c6acnyFfpLCBB8NFdAiKMxEzzMm1/+3B7qIQ8mta5Vn/49y+gsGxRNRrs4FAnf9iNbxkFoEORAgYGOO+xA4jLrUQSwqxbJQs9pCxPgD3LfGXrMunIU8PuBx7g93+GenRkeMo51DzZI5aYrF4aUksG6b4SCOc+iCp24mxnM8LHX2KLCCEPqDwL4x2mQHUPMqhDkA/hedIKPB0uBjdIaIBzADpMrrx+W0H03p98Qp7NlNmj8RyUMmV/AkHYIsMdhK4Vna5JaFZ+V1QSrjUkBQfqcBNZetIYEzR+kQl1Yt5p2+WuSMvMm8bBMbqgbidixPGdfO9yJjeOVFZn+Oz0iaYBuL6jBmlVAoXA0nRlAw48hQPOITrJdsPuzHoczU/VprdI87yFvh1JcSdUBWH7zltHmzhJ/JKwwv72q+iWwoirNoNJT0GvE+MxumV+7235yrou0ynCLkFrBhwCWcCUQxxhsdhsyY5X0maFnLflvkrLahxhBCFjdEV9DsA3N6mnZwNeS12ZtPvqjPtBPpbLrkxL4gGujDNZ/yTL6Oa4pfyT1sa3nxoCjt2u9cSpJFdLsywDJJnqAubD+L/qrne9Zga4S+4gFX41Av6/EhmzY20gxbW/j9eEf82b/eg5aPGkbKU9DfwoMwZgdYyUE6ZK0e3aTjdlG/IsUKAkc7VcKeXg8Cld6/q3dBVvb8ncqfcos5F+R7SsmzspW2V7o5HDyjbRBSDocisoQ4zA5QscaDWVN35Impv5fFiyaQj3Zw1GflTuPbxdXx4BFtvPQufhVbTuhV/+a4PTYwzepFciwVvvfZTUVxr9CGk909WGD3YqZyLXEAzPEs2+bvngsv4ZkRaxT4jAfSDSJ+VacKEoAxQXk42l6ZU87BQnQ0pu7T2AwAVLDrO17HgR7aXETa7/7PkjPaptjac/DTjD76OuUehobgZJZG8Wib4g+paDNeBFXEZZ+u3k11/dMbWYAWZPvlrWdkfqMxnXlNom+BwjKsRchZbHRtomXGJSUM7YqZAzsUaCBmRDl1ojMwQmWHE+4aTA8jr1FCr2onYgaA1W6YaUkYbNJbfel88Z2Hp4AT9zS1UmIudSq0XouWo1Q0r22/rSPtRumQMx4zfJXjcZhJf1Kbr/XjU3fQszCmwXrr+GphXVix75pHgmU/L/yH/M+f8xn4h8ZRjiPs/oZrzJ7hSjSh9Up/eA9aLrhahvWtaVIk57vCoO70HDONi2G+dkBrd/IG8FdiKjEC01Hk1AHuzORFV4JhCSwFKs3IAIdOL/Wnk4m08Xi+uKl0HmZRJyS4ZTPcjs0NV1U6zxJPJKRxqeA16IdI3wtRo7wsVZRYL5wTZWnBhGwkUhs7Qk0HuCdPSqqMfUmcs8UdBvDseatmzlO2yYTuRcJHdr8PUHHq90h4du/KzioGOVPKw4tuegSj4Xk+K+0pV3e6hP/Ze8V+rQbRFqh98DznldQgKWdjDimqnjviZrXRf1sai5aK6oeSibHBLoRBHPEnljS1Fvu5EtCuwrU0JnowWjvn2JGN40RcRHs0MV3+pMh/vsfK/CQ99BBc/A5RfitAYY3gHPuBXNS5VQBuxZvExtAHWuh8+cxQpQmqQyI2xvse3Qw+mlQ5R3otviwl3yklkojh6tOt6AE+9qIOWIzzwxyXa1l4Fw54U1RAaW42dAuxLmnalF72U/NGREzwn5Apk1Bx6nl70bH+uCbKV8z/Pt2oA6VfkKKvTdMgOqYWxiN8pEtUTM7DbOB5j0K3OBw0xaTyNT28wBo3Qi6/8cfV6fmU69klZJIGs7eqL7VcxCSM9CK4N7CxNEhWI6AgSgtAH55hHmgXcHthzHCIpymL07SVwAPYslbLgdX/LDuh5GFpFXkZq7YqEZ639a9WnTYL4YovYkRi3BIrux/OYKBr0BT8DlxU0JIaQTvbP8BCFbNhuiSmlgo88Ha7dekNKODyynSQbYEpONS1iPCRpLuFDZgUtVt4r5nzSzylRckb4oT5IcQs1RFQziZhkxdhbW7FDZheVGC4EfQUSd2IxoxkK7BXXZPZpgwmyTgDfJDsO1U7q3KN3VSwNuPqfFhVPI2b3Pse5K6jsLRSKChD5qYz4PIf65UkF5Jotk72XkJaqwHt2wAlOAJ9vYEYX2W3ZRSm5muQQRHx7YM9yIdS0omJvt7nLpOqIEwZJCzOe0/6lSrsDfp/WVNvk1nDfqXbnzM/eC0rxpSNOH6tJP46cOeb2QNHIjLzqMSyTVzFlMcVogCEF4OepPmqdx/9zCoVNso+UilHWD5zQLk+Dlm2abA81subG1mkZUBqcfPVe8zi/NMe1eqQjuwaXPsprfW7KCUps0j5D9b0rEu0DQgrU7saIMGFdPJ1ap7CjyOdITX3Xyqe9IW/HwqlkhHkyHviLdKV1zt3PgiwBoZlS3/OmVRe6Z3WBCoyFq4cR89ZRjLXnFJoof+vJiuvnHtaap9WBXMCfHg9SOiJ4TUQhdbP/bJI/n36XqlB0BYRmjDkjwyArA3amWiQkZZgSxhUOLkZkhkqTFxcgq4zRefio29gDMSUgAkCcb6iRgr9FOBgQF/c3LgJHTvH8wNTRK7m8rTaTIZvagJ40qDgR4t0Jd+QbfhjdlldI4/c0TK4NnaBAi8E1HbRRm+dw9UIZqcMjichHqmkpbnwJZWQE5roRabuPfPDEAsYNPuwLHdP5EgqN65DWOy+Dey7l/YizRG5UD8pEcXUxpMI5UWWLguXUDzAngawvRuQDLyJDvwL8iY2CJF13qars/Usq1qp+Ut4Art2h04rk5WJaRCUC02LAx62q+xCWERuzGXdCRRn2CZXTxRZo+Sstx2P/+PbQAAAAAA==</t>
  </si>
  <si>
    <t>data:image/webp;base64,UklGRgQTAABXRUJQVlA4WAoAAAAQAAAAXwAAXwAAQUxQSMgEAAAB8IRtt2nbtm39KaXcOGzbts1p27Zt27Zt27Zt23OwIaWc/kCrvZdcay6hEYqICcBVbEXUrGzaVGQ8RK0URUMtRaU/LYaJc7sccfb1b3fPBz30oQ++9x1veO4ROxs2mklHYgUAZJ+rP+R1X/ztpRx4yS8/+bzbHjkHwKwTLQBw2J3e8OMVTq7hm4zKyb987U12AMQ6MAXKmc/4XpBkdY+aHJg1PEjyH687DxCbMQNwxBN/QpLhNdk+qwfJL98YMJkhFeCaH1wn02ty+hmV/OI5gM6KGHDDr5L0ypmtQb5gGTYbBpz5WbJGcqaj8ruHYU5moGDrF5FROfvO/5wLFJmSFJz+M2awy+CVd94CsKkIcNc1OntN8tcP2BKi7QTzz2UE+80gf3k7oLQSXXone69OfupIqLQByn5Xf+bXV7sia/CK+wDaaOIuH2f0RAb55iVoI7FF3H6lsvN0fnl7aBsYrk1mb+Q6v7klpInioEuycgTX+YFFbSE2/x0GRzF4EloWPIvOUaz89YI0MJyenuPg+UqUYWJzP2TlOFZeEzbM8GA6x7HyT0uQQSq7X1JzJJzPQsFgwyvpHMfM9YOhg1SO8Joj4XwnDIMN76JzJGs9VoaZHFsrRzL4ZhiG4V30kch6+T6ig1SO8MqRdD4MhsGG19J7ityM4LeLySCVva7I7Ci4mRmrR0ExuODJdPYbfN87GJPWeU8UDBbZ8q9Z+wk+Cy+lT3C+AQXDC27HYLfOB0M+ztjg/NqCSQPF17Of4PMwh++ykgz+ZlcohhtOZmWvwe9akeW/MMng3w+Bockr6d1Unos57LXKZPBfx8LQULDdf5i9BL8ENZzMpPNvx6CgZcEdGOzVeRcpBTdmrPNXh6CgqeLz/ST9IGjBQ3OFX94VhqaKQz3Za+Vv5yAFLyZftwBD24LH07sJfhEKxVfinoCisZSfsnb0IZhg6R1nwASNDaezsqMPwoACGJoXvIDe02dEAUDRXLD4e9Z+Kn8K2TBFwwWs7LjGDWDTKXhJelf8+/ZqKu0E879h7YnOJ2OqhtNY2XXNv+12zkl7QFoVPJXeF4M3P/3+J0Bbif6AtTPPl2KKiiNrsvPgV2DtCh5K763yt3OQZoovMXpL/n2rdop9Vpn9/W3LdkXuRmfvlb+ydoqPMLoLfhGKxoJdLmV253wZSquC2zLYffBW03htenfJK/eAthJ8ldGd54dhaCzAT1m7C15r3ILfNUVzwTf7c14Ma1fw5vTOnG+FYRp3YPQV/P32qlMQ7Pj/mj3VXDkJhmkansj1joJ+LRimKrr8Q673ks5LroGCKSv2/z09ckNGTWaG16nkpKxOfvsoFExdsfdnSNaI5OaGe9Q2Sbq7B8n/PGYBhhlU4DZfWiHJ/37+12vM/33tpT/mxGyRXOXE+r1H7QEoZlIB7HfxLW9y+o6Y2+fIQ3cE7Jib3++BN/k0Y1jwv8cefZuHP/7BNzkMgAlm1QQTFRulYOKR4TnEedmZ2HQRzLJaKSYQVRVAtJQyjwfQ62bV4B9PQdGyUQX9G55IeuSGrF7J9+wOw5gabv4HkllrkuTXbwAYxtWw7f2+dAlJrvzkpecDKhhbA7DbKRdf7fR9FIBhhKUIJhfDWIuZmQqukghWUDggFg4AAJA3AJ0BKmAAYAA+TR6KRCKhoRjuzYAoBMS2AGca4H9A1mzs3md17+t/i/i+Ss9gOQf1AfnD2AOcT+03qI/X39pPds9C39j9QD+t/4TrGfQQ/bT03P3L+ET+v/8T9svgS/Yj/6Zxn/Fvwv/Tnxz/tn47ftJ6v/iPyT9q/Jj+q8qvnX/ReRr6+/jP7L/af9L+ZHyB/kPAH30/035FfAF+J/x3+5fld+XXHSAA/Lf6d/jPza/wXo7fzPoJ9avYA/nP9E/zP5mcxF557AH84/s3/G/x/5QfSp/Hf9D/P/mr7U/zT+9f93/E/j19gv8q/p3+7/vH5NfN97Jf2i9lr9k3AE98UMZumr0tj5kh91vKRGZf26ZuKB0Bj5Hq4ffP0Ivold5/bKWXLdmO6szCL7YgPMY2U+qWLGojVnmMNtAYdVyIclF4FS7Ow3svHTCNkjp1IQ/eBmxS8VeXB/6zuLaFZTXaTmkGN3s06SuvWbtYAzy1sHsM8qN9cvs+Sdi3cxebjZmJsWOQUw7hTJ47g5SdIzypkj/1/93E5KhPdAUPH+z1YNmSPZFjlEksJfFWbfWW+3IGhqIs9W3gdobhuIZ7KxcjjgwOAAD+/w1nb+G7WIU+UBpMgsrDpXB9fO6JA0Fdgr3M8sUU3bTqd5QyUCsCT/mJ6C7hl9Xunf/4PCaQK/7x57yxaEYTwUsU93aY07Dws60MI81RGUWttC+NCSwp3FUkqIJ0t9+sJyMk23R7MwVBJPPrKb2TZVM++84p+4YxyGjkRghfAnwsaRXTJU9jy6jA/G23QWD/T1goF8d0jo1MdCP8Yznf9G1rk2zavGMBgkD5H1UJmS5Yqy7S6iwx8WWZedZ/r2/y2+cbuFSqes/SwWFXCkMkYODL2lXcbEPRNySOYixlMqOlcIfR+6yZS4qBtaevaQF/7LUjgqDA5PGrxyDYjtsYAG/8NwSldMOUQS+XLxvxdxYD1FfJZVVP3whs3cib7Xn3Fe2xMOyo/tP67l+cQnSHhExZsx/ddgVuh7I42Q9aTUKIyxGtc44tEHXXz2AyyteBIgQq9EgWzmcuvAm7m38uO632GKDkMj8UaXRxdx9qKYVHdF79n+c0VJLbmUdohHpayzifZkPR5kvVWhWv9t6B6+nZnpSG+8lQQAj0Rgo+8tzIVZUsDKsNas34BwZIOEM4jwpRexLJGNrjfN7Rqqg8Vg06mex0nlto1Bmg/W3+o/M8rzeP4XRy29/DNMa7iJaGf8NzPm1cukMdHVJatP/TuJTcvQxiNc9YfGkbjH0EN/9KE5cDBk05ZcysaDPe4m62VvFVDLYc4FKr4YS+3MFV62G8SmHQYv83G1OmPeFc89mKdQlRWrPrzgFV7SClZFzNTS9A/ULxVj++e7iHTJmfRcaslnonWHpCJxSPXJdGyOaeddO0MgIoDnwnKdvA7OHR2IPJ6p728TA6P3NBFP5NhnAXwDJA9Tcf/oP0wAQOkl0FNFqteMSSTAQhTKWGl7XcjDhjVnm3y+2CBMRe5/kXfq2O51/b6My7Z1qqr9zFzroPlOPuplv4D1cxKgDleAOjivITzVIzOqOTHxIEVgrddIhJknKHrWbMXq/9AO4SPBpEtAcMbOqdJI/bYSUB0tP/LGel56px1mPxHdNohIS9MoKYfApBm80VnHjZm/vXTbLcNUvDSy6uk7nvkoF/olwWKl8B0u1s3MqYnoHHgwe8WdUoUrCjFtc83AdmKMH8JgAAQmTujuYlsVW0VtLjfP4agOR9lyU4wQ9+Z8vujlc8v2EC/xaljaZPFvcFffF72E8nssMsfI8f9P6+8vSGlihux/jx2+qPB34naN3i4v+LxgnIeFPV18JuVc6l6Kv1vYW5/2PTJ0KIWze/aHa1FiSmkNcgaLHqoI2R6qcc0g9OutGrl/LIIGfsOEbqnX/R/bfQo40S9lKmndBPZjM35/T0LdTDqRNjCFLOAHhjEL0fSTQKQ4TpGf3953S4qOaoyenu7sD0qZ46N38DFkuvHe4UK+OHGZkGCOQ0YgxLH2fUsRpxCRhS7fwrKZALzRmpgRjLvkU9mvGYmUASuggMuMnNTGmJwxsIm0xFSeLYJj+R/8OdSOSHfYoOSh8lrLJTstIAKnE8zZeoPfny7Hg1Y5JfVwvSsjr/1KzYo/73bW+MTwMb3xVAun+mNHdABAbzHFgeI9o4j06nJUxiBTINL7jHabmDUSjkkXExXskxMr/ljMaK4jh29reeB6sEBaut8o0aPsi11X5/6PHJzRVEOiWUygjI/hxaYD9LvxqPBnH99SFURMNknPks/scTHd/7wHMkKVSH30OD+Mp3s9RB7jhVZm/cthAHUu1fRpHrWGZuT5NqiuygYt8SPbZcEYL8bXEw8fWHtR0qxdnST2Bb0bHpiVpcPllZKoDdS5S+by2r1u/4x7LRfeA3l4ON8oHrXeKQqY+9cHvnyzpvkVIdbfPqAtwh9rO9dh0u7fHDtwu5l3x2hn0iMUwdU8Akjlom1Ah6HUPJLWA2x7pw1JpFgotFEuEJ0DJvtP0G9J/p7sqUwX9Bcqy+5s/Ls621EsX0SLt8QGVQZY6JZ+XzKV5AboilIIq5nIjXBzeIRdUmsGJWNou72EhHOQxTtcNKBIZJKL6xAn2Rv2sn3+I7L9L55JkTp5q0AHXHOIV4tTcq7fn73vtGoS7fuZ/ZGgAy6CT60fsWbrKnfzdWR9GXF2Yzgbe632VFsifRvx/E+FiW5Ft3OhXOrolv2fZh//HaKmS0McoGZAaWHen0xf+Cd/c0/oNrJZXS3sFwo8fL/lC51aRj2v5tEj2EhOs7E/6UnQ4LejrW7vJDPHunkZdJJ7MY+tKRwegO8G1SDebZuY00wEAZ2sFtadLTcIWaumc8SjmUA/5gj4lWN0UCVPfDjCN5dR1LNm6ZzkY4ifhRzH3fqcdCXMW3eeI6AK4RoYA9elBaKiv+CF6VDyIX59nSN9swFp/8sjmronAJET4ycKDCMvyRXI9A80nvZ0aMUq56AGEezhVY1J5mKMQXY9RLjhsUCs41YhpmV8xk5zBpNZgUc3ppRTSuyGeJ/zQUIqu2Cz8/FSE3AiK2PzGyN+nr51tVjmvPhvHLd7J+IGIaExSZtwgWcxob22s+uMucZUYjFCrTTwI4ZYqGbYS/44+H9M518RCxN2ZN5lyI16QnXk+kLSbw5msCll1ipm7MtERmvj+kTXw9cmakxes/pbQqjBGOzzvq9mfQLZEtWuuvFZ0u2X1NV7y5u6MFCHxAPjjArxSZsN/CagLdeA+Po4teEmUK3MRMEEE6XgngQNQgFbJBGLhRUas77X/WVYW9hgj3QctkagjvDBU4qJSMl0d4DtFWSnR74gLJ7TsPUxuTgL0C0zL8fwUWr2yAZepi9FWmASATCtD7wQRui0mmv1zlvJ0ZwXBN5l+meuo5HsuRloLlm6M4CrCutk7/gGvAPIM1BYZF3JgplkRejxbZ95GX5K9T5p/7iJK/D14kQABexfnm/uQvpX2V+nq4H4ho4mP4CuiWsONCBzrfSjdRRJSd1TZvcbfft2tIrsVthFqITAXPIaKv4KNkT0EZCajaSfj2OyaOEXSddcPP/wTP//6yT//1iv///WABP9IPtShm8XCFaNPRu2wY/rKaTMCtP9lzaSK4aJGSaTGvO7oE4i07hDpd8kT2+tdjYAw7rK964EDJ9B6Zc7B9NnciTAcyFi+0FT1TmsLClZrL8WTTy2lDEXgorh6uIzRFX7yAXSwTVL246C+86wjlWWbIHbHMSykMPhJ+rM1o1s7+wIET+Lsx/FYhMwh8A/mypewq0wxEzSMAcu05a/9XSuOxSi9Uwc3ikJgmWk6GzGJJZ8wAj2naiTMlEyl+65zt0BmRZNU8fOZLNUW3IDOM+kkWGwIGDPAdufzhbxE+rGXOORHf5+yLS23knSZJ7Yz3uYPvD3bif5ZP1IXhiGGzdBNWDPeURE6sIbl1D4U7TKUU4D64QWpyWzroYHT0Ds4ysrrVyvNi5WqNH4z4EQDjtahOUavCinbIfQ2N11W5PghoFrXlChyUzDVFKn+EBavULjge2uNFUjQYWo7lb4SVqxeyIKS+4RT3GipigULIQqLXdBJVCJuj5ecKzfUlCRO5kcTlq6/+GoI/xCzf8d4ujplhFLx5UePgHZjkex+9JZSnmdDKPNsVjNFib/prTKMk7m6pqM6r3+ViTPJLGZdttGTmQjbDQC7fjtnP1NZiN5WqmjrHyrdNQ0JwKmc2L+C1HYWgdhe6j7Y44bPVjixEQU1ab+6ODKUa5SPXs/9z33Xzw6wtLSJaPt6JiREROUcezdxuzG/rs/y4TX5zpOi0fM0mFD84E84rP8N4jtGPY2nUJpec+Bp8AziJL3s3mmZg/yfxVPcTHJa0DWBBD+49s/Q4bOC6qaCl8p3TM3kr8rM0eUQcdO7s/fwiHB1rtXZa8TWRkRT4UFrgDG5DEmtrDxlyp4/4DfT3lET9THgLOoTqOkb+EeNBBqPgXZ1X/7xKd1LQj1G3V52vs3/2c9PuKjiqF/H0fQgFudHdzu11zTkHoiKNF0XNRnKAIMr4gCiSBlhjKWDISIscmu8uoygA/BFzcIkcQFX1Ofi8QXTMJmCt7La/subL0jtZvSkxapTumro8Dl6VREU8CgCRsr3pBmm3TQdgSE43GINUBCam66PELEd5wsCxF7MVhj0fYjl5Jg+nmOSXxL/4xy68BubP4AVadTtognUHl7FGdq8OAR9KmQkHN64cJOIEBFRP/cgSNrG8UZ64yfg8O6GZIcBe1I//Tf+HqhO6ugAAAA==</t>
  </si>
  <si>
    <t>data:image/webp;base64,UklGRugSAABXRUJQVlA4WAoAAAAQAAAAXwAAXwAAQUxQSLkCAAABoENtmyHb+qr+mmPbtpH5MrLtyDe0bdv2jWzbtm1EB1N//d/FRnV35TciJgAVO+clhODx3/7Lj372z+eO32AIOpQQgnjnUNfQfRGPzntN2/zYe75ix98/esYuCwehi14kdDtL5h5Dpy3b8dCrnvxa+V9NlpQd/vbG3Wfst9nSSYNbqOtR/z3yyCOPOuqY4046/dxLrr3j/mfe/vIPZccaNbFj06jsdP1vX7z97IN333jFhWefdtLxxx599FEdZmF20xg1GbttKcaoxtxZYkbVlMxYsVlKqrH7WVjW//3XjFSUlGVtUdZn+YNWDONfWb4qyjdZXmcqRuKbWe6hFkN5f5YLinJRlv2KckCWFSyncXWWYb/RCmH8fXgWPEMthPI55D3NYiGinZFpY6ZCJG6aqc+PTEUw/twvT8DVFosQ7VqELIIVTEVIXA3JAu9fNy2A2pveIW/A7iwC90TI5HyPjyw1LtnHPb3LBMF2jI1T7gBBdsGj1IYpn4Agv3fT16g1ynTtTOcrgGA/thvV5gEQVBpwE9sNavMWBFTrpOcLjI2JfKmXuIrgMfwDxoZEfjQCHpV7jPuIsRGRH0+AoIaC0a+x3YA23xgDQS0FA+6hppol5b0DIaipB04jY60ieQbgUVvnsfUP1FQbU/64LbxDnQPG3kVGq0ck7x6HgJoLsOvXpNZAyW92AwS1dx5Dz2szpYpSYjx/GLxDEwVYfA+pqYKk5H1LAEFDnQCbvUxGy2SRfGULQBya6z38Pp+Q0TJYJD/Z18N7NFuAfof+TGq3lPzlsH6AoPkCjD5/PdW6ZMr2BWMAQRFdABbdT2oXlHxgMRAcSukCsPv3VOvAlD/sAQSHknqPUXfQEkkz3jka3qO0AThYmZiohwABBXaCTf5k5F+bQjzK3MKir/n1YrRQ7BbmvjAfLdQbAFZQOCAIEAAAcDwAnQEqYABgAD5FGIlEIqGhGx4XRCgERLYAYxvMBhpG1h/uv4Y48ugPId5g/4X3OfPf/CeoD8y/8v3AP08/3f9k/uPtVeor+ff8r1AfrZ+yPup/2D9gPc1/gPUA/rP+M9Zn/fewh+1HsAfq56tX/A/bn4JP65/sf2r+Av9c/+3+f/yAf/T1AM5L+yeDPhk8z+3HrWfyveL6G/3Xoh/JftJ+F/tX7f+xvebwAvyP+Wf5z8s/QJ2lGi/4r/ieoF7PfQ/+X/cP7h5Hv8R6DfYD/Xe4B/N/6Z/pfyk+Kv9H4GH2P/cfrv8AH8u/tH/a/wH5K/S1/C/9X/Tfmj7UPzP++/9n/A/575Bv5Z/Vv99/hP3x/zHzg+x79kPZl/aVkTXmL6r8U/gdOJD+CxlHeykg/pLEwXFC5448G2VA5say/XXMOuCEL18A9IiP+qDfUdCueyeC4m2tCd+zQavdEQH9barxD6UygFepdfyuxMBs8FI/QLdGa9t1cI7aw9rJlHzWjalZ0MxdYU37nxxjIFT5SIVugKFRljt54tDaCHmo5mYyTedzHTR1+jNeMt3znXM6JWM6oCSvZHDu6y5BcUzP/lTHiCHkgLPpUL4+e5uSfxgkbBiDspaypuoxM+bp0TYyPv/YVSD3c+mGreYAAP7//k4zeO5JlFpvwX7U2AYGDvSyvkFNW/Geuiyy1PGE4b2lsWlyEKfnQgciowilV6mDkM/choOFJvbkFacESwLFOKXX/QsNAO3WZYoXRf0XjtcH0NlD4IJV5KBDEebmlbDfsw3MLmHPWiM+gwhsChXZV41fvlt3XI/Yf9SgaVubGFvfRg5nK+nxVnhCscKjtae9Ia61l4utDPw8kq0B6nhTw+CB+1B8H2k4ithXcZQqlrW1ysfNwcPGGsS9HCfyo8yx7ZYYPmAts/KD/xHRCbdj4/g3qYY/of1pv7fk+Hvh02wIrmExFpJ70/abKQdyeZG/PWqpLuMk5OBe+rjZxgCEW2LvRbpsiK27w/fMrl+tP7aB69qcKBaemSeBv6yZ3Lsh4+VI/UiL9z9+vYsT8v3p105xzCfuCxGE3tZejIrIbPZP51jMtKXqfZDG1FYaI1bEGKG/MQlxL+3/dp9MmfD2yKoK9r4w+7XHM8eMs5ksNvdlq+MiviVenc17nOM8AhpAtMN/BT4X+mNT7EwfCCvz5wR+GIvU1vipvoS/wCeC/SGGFTzf22J0xCwdmTbbfD7PgVti4qVX/7zzleMuWvNfDADUlPoDrSgqM/xcCS8Z/+svvAI+sTdHs82ttNmPdxenMgHh3QN/NnPIarci+GTPeONOLtNzkGMXteqlntX41tztzXRtaYTsKTrLWbK+SDDide8Q6WiO10p8YrhG0q8N0OaUSno7QDJloiLnZ9VDZpxOVcWbU1fDSJn19pScgFDvfPOV3VkhuqbA/pNzpFw/8uZcN+4FDGwYdhVhLDU2DFgWXYdDrB4oJXSkfRprv/Gq4+GZg/nr/yNK2146bq96JoumlYrZGhxtQuG6Pv6fb1iAk4yJL69p/mYu5J8J00YhYSrI8frOA7qqaVnT78oUL2MKdnlZe+E0a85MTDgs+IX2gOf7q24cE6URi0qSlBtiSpCvA4OaYpaX4v7mnfNjgq755eqYpa3krd07tpJ9+oSEXBaVQsHu2os3DOF1DFD83OcmvPzAwQ4XznL+KpxDJ/u3bJihDieCuBzJ/veRGXOUd4bGGjX52AEeEa1qc6buwhOwrb0PRjKBRvD/V8gSfXL82a28nmKOPvpjjsBPLuJ+b1UcQ2I0+Xrx/CS5BcMgPok6YsOpPsYuoxDE8ZvpH8kbjEKVoNli6hwiZOiFvkdltNkZUiK1tJ9+P0da43Qln52pwdktgs3CavKySBFCqjF3l+Zt1CQOzSnGt0GI99zlU45HhEGzRDD46LbfRIsxpF0kDuQXSQ+9u6gmaIETIunLu1bqizXeKPI6YW61i1M6KbCguaLBR1/rltNFahhNukgFbSZsvcmUIAToc93VDBq3S6kBNkA/9JKUCKak0k0iuYyEqyj/kOZo6MeY3ed/XR67bZtpDGpODZ66Z+HGP2SGod2cMed1QtiXf+pvtu/dXM927sRCGHjJhytV6cLypurxNTGiQByVkAI1ICJCR8hmp4iMzD3oY2nGMZd5knNXB2enpoKwMUqfwX5qJnoof5jFxnJV+Rl6w5BmeToSfAEf2XOa8i+A3cRuDGOqOg7RXDE7NrIwNOgE9ihRt3JQAn7ZMVpqqkieCWFMrkeReJq1btdW/R4WfVkV5+xa/2IU0zpJWExCpBquUF3YtKaZD1yIOpAoIwtCNn5cpXkZnxnqcIJy1ZH7qjESrGOgjJ5oJb2AdeWh0cjJKoV2zIQRy8kE+rvMwIdO044d2euCnVsX7gNgGJJZt/m8L9TGW9II0RQWIcOEoVJyWsCyGEPaOgSc0dDj0NbAAFWjMbpjul1V2S2moZR5StMrb/Zy794hEGrWvjoDU8545zzH/dOksr4eGAx7d7L21MTH6gZPaBJadkc1/nWcczDI6qTQ6XWgjOLFLz8V6apblfN74SllMPnK4Bmd5UrWx57fJ2xWIdjAVKA0SPB9eYUY7uCVQwLiK+YSSAmRmtitGTlShZFKj4/DVR/O59RcJz2Bp7aUCgpKSm7o5eWnCayDOXFgNo5tzXAo5QvBwCqxr03e/hVq46Odvydl3NhW4/GUpK2pRlshvClrdJRkBpoQfe++JZuViaFZ/aQ7z8PqDlkmqw5bpiU73UC4eqIt4tPHiqnVwt6I2BK7WK5kZB1A9MkY8DyOTED7h4bqOqcuJUv2+wNNTqOYVl3k8NtiSa4LtX2n+3GRiES3E8g1aEVNk3s2KhDayL8xT2hSl6/9JleU8djh0C593iWlVjAet161v9g7edHvneiei5FhRUGyKs9FzEMiTVOpRd+bEMymAxsrPpkpdLtvKK3qi5yebB7PDb6VXwIrGn1POJwWIKIWVYESReYpkDXpq9JQPB2oTsqSxeXdPoI8nkllX/Q4XvGcGU8R9TMx8ucReskM3hgkdW/gkXiJns5Aog0CW/WEk419n1UKO8yErzSvzClwwF1gZuwdcuIT7xR7EOMBVwvCGGhUAAHRJXRZDV/rU/+pvfzB5mWgsM97dPt5FAAImqA4vlc/BzW30qka34KNQSJKo42Z7w1EGRsM4F2rn47/s/IORr/EZAJVgCmsaMqL1rw2Hkzm7LoNl6q51mLnm53t9WzqlT/F3fh8GyYxJxb/HYnDATzAHSrcDJIkPjxo8Y+zRKiS/bqeXeK95uW3fVSzRSpkickXIY3wlscYWo/sJiYEdUTOmEWFEmI8yxZmInwX8SOcgxDn2VP1g58FROhHO9SVMlitbGo7xxmdEJMpPQMXjSSaWBUuEwEznPw3cDgZpD6MCQDBkYGfXm0bWDzB41YEdTf2FO88H9OzV0n6YQEucQbYiUleiB9X+ZrQqJkSt1cGNmkBr0pRDByoNPtJGuncGyJq/iVy8hTRS9e7CbUC7izU1Ebn2JqOiPzo5jvZPquOX+VtYzfRFI+ifXhj4bSmPuCHWQ3jmIeEZMPqpUmJpAGmX9ITW4MJVw7gx0dpNfwLYiqHn8QZWuITzQH9frUQ3A91uQtHnFgbxCCSX5LphJbJDk9VAz53HNGXwXU02Tggn4guMhjTNzuQXP2ip+1Uh4/ng6rNh2lt2Hv72xl7h3kMfOHZDvXVlbiJbbYO5Jn8JnRED/vK85PZH3drjKCre8aowjrdr6VBmdrpn/aHDmB87mtWtL6rWKOoVOXGBLcGw+WTeUxIft2M+jc1nUXL+fMHOqLABmz/40a33Qcf+lvrjPBlARp0ABXN7dmppjWMxysu/5qqFgQYvqT51fMpQ/56i9MshmDGwfZue0PwXEtyM51MUlhyfYK+/3YRoRRPFPjP6qBFfnOcErMkAlswiLEPL3PkgTFfkI/7irenw67YbOBTYPW9zq/MFQU2QxCBsHbEYEMYyw1sEDs2+Re0+cv40ES+FpKkjO+Hf9LMJP4PAP+XkI+w4O9dqGPuX0zSTGqj0PFn/BNqs4FiMfNjTAD0uePU9hm/xh0RUS1qtwSpx0zYOxvcUCJYf1Kj1VCGIDjH7DnLVfBku2v94gGh1rHCfvP24x8SiU6plJxhn0LCNy4mMWO2xbSEAPtPsXgMOPhFH8ByOeKt2DwaADd6Cz/fA7BdH47QuyToQcq1RJLaK+V79/R4iEqPb853kYQDaqv4Dj1UNU/l7KhZTSRFvL0OF5M22EFZakcRSzSywHMz6VDHgdW3dGC5BcRd9yaXi2ARL+Cy2Ya9uQOvnNAAK+Bgyn9WFjx264aK5UayHY61DRhWlBLAealWo62YmkISfaM/X+cNdb/gyB2E8JcPXy55o7gEgfNQpy7YxYCiWZXx/Mqv3QXihJuW1zhZDRZHsyQ3RVaD/zvThBOqZfpInF0jpOTgx9ln0RNO6YfBQgEfIpMZoN8Q8C+L3KN98LjMJqwDVUD0RV+rYGEmVLqZqxWMoM+1OZB0WRrr5aXRT44j3aeff8LgNMxUkc4VL3neBZDyUHVQkcSHtPCTGyKj+l42N+/fnuklzuOIK3UwH77fPAsoObJ/p0Xi3FR2dG7fgEQnXXRzFL61vGTDJTN4fhOfWx2tTkC3HqIeFIuf9d6VtheLMVmif/F5WLcOHyNfYDSxuLHfbPFqGe4/lScNpK/nDzdWEWFo/JilO8m1rH1JJRIgf8GhzazVVfB/M/PQpttH0T5oFEzZLMovxzxJjqPL5vHnlX4McgcmX63x9ZQFaDfmZtblbk/06waqigHDPrZTfhsFNcJWyvNcOQ2wHvq9h+EuiiHodGwnF3SzDfv1UvgaPEOYGlEJA8OF0In3mN59mvfYsLlwDWS/UvHzxHrfN8ACQeWMUlZcRtJxMKAr2gKpxDF12cuWfza8wNz9Ap8hux8mEItw3+/WQDx+BCoCfr7XvDhGt4Wxs6vlAKcyoGRCvUmMv+TuUXOjWQdbMFzr4KiQH6sXvnq80eCwXZkGwFdlTgNF6AiNh/YjcRCsWnmKbu4ymSWCaiUtoh5xhxEKnL+XawIwTdgAgmqz/l7GmpBzwDQ6thujZeNYnjThRC736clE8Y5Ak0/DiYDFUSUtoCqdiyUdP4pDzckdMlapFornK1vgUAEYd7iIyFLhXKq0+pIzWhNYKKBu+WoalS7CoiZ3x7TblIoZXJj3zB21IrH3+ugkUqSg+BcaSFPjcg2UNYjlz3SacVPlpLt28tR8wL5QSc4VxXjDmusHftnx/sONAAqCoeGgUcm9GuP7WaD6IJ9Mj0NyiSsJ+xeFKP3mEl/9HiQcMFsSTFo2Tqy6gsBElpQqeAi/PXcXYtnZFSv/sI1TRwIrmmc2cnAod8bQxuL4crb1xyauIgId4doj/0/i7CHb3sYwd8O+sC+G+ZqXXFSxAAAA</t>
  </si>
  <si>
    <t>data:image/webp;base64,UklGRkQXAABXRUJQVlA4WAoAAAAQAAAAXwAAXwAAQUxQSDUEAAABDkrY/hmSpMro7Fnbtm3be7Nte/fEu23cBqe1vSfbtr07rsqM5+nsygz8+/775z8iMiIgSrLbtnmPIAQWOY0lAL4AtlS5YIwr7n3u7U+99+1fs/ohdYyn4rl7rzT8ZXnlSKz6Dr3t1b+1AfHabYemcV+bN2QRwMpnPTtdj7EcpALM474EBlIa9yVMf/astmrI/IwAeN9p/2mRFIrSpGKEJCJx2r5jTx4GKMakY1/XIv1UigU5BRF5PbbIlPtZR76rpRhusWuAyLtHOp4UgR1eFBn7ih0RSYRbl5NyLHxjOfTk8IFv7Hq5o2EKu3+iy4E4ZmJpd4dyMUqAy0rdFw8MwpcDysE7FnlAFxAvBCSy9StyrPGuhFI8kYOkFrmlbP6jDuKRQbrNkaxku7/0QLwySbedRUnY5p9KfJc2GBeFTf6sxH+Jmxp+jmRb/lAJhfLjlqzM2q7Uc4QEWYJZU6bkcSoVK8kMm5f4Shf+AQmd8e4xgi1np9I3OHVbIlq86nj/CnK85cK+ofS9rvkGu41JxQX+KL02Mf/RRmW3a9/mf1+6DdFK9qfQHCxKphb+tvQP/rZTmbm+WvfFO4OwsVLZ2rOL0j8Y3dqZMtWTK01BJUMVeYNQaQoqbJBFM31PpWmoaKQUlv2vZBpgjjDZWXOcX2kq6gKTzSnj12VABUkCs4G9YSo1GXLaEKrZvrSy6ZgRqbl6prLpmNxYZVjsT03JkBiQNS26naUQQoR0vdjUc470KSFIQt6EO6kBTVB4jtJIkSShYSBDPqLW/LHqcT0W+kWXlMASF27Ccv9TQ7dcPRRWn0MNc1aHqsc6A2pI60wE0DeoD5kIL6K/rifSvoQcd1DbVxNy+ufCxDrXGIsSPJeJ3ysm4r1ow4KSAYN7HSS9Qele+kZuIKO9syjdq8/CqGr2Ex/wTknGZA5dgx85AZs/ookxbI7aKcvcOFcXtNY1ZO6NqUYu/VHLgFqVRLo4jLf1HCFIlreHsQUXJT0w5sQac4okekiCunet36enGCFldafCXRKoIUiLWOfxWPYvaorRLVvr/Yg4k5oKwoj1+xK/TO1eEXmk6d6y9nRa/3dP7xoPhoiTaJ1r0cCzkuN+CXSkNfJ7xHlflUBFOBoF+RRW+I6KX72NUIZ+uU3+phHXwCbGjsUcO06nEJfhHawCP7v8699vHNjSr77NL77jYnEb68DbOh/ouf4wV3/ASNZxycUf9hmXbJOD4HAErhJfcVVJQHQTF97zUz9x4U9bqMxVXHuRm3zEtcMivdxpXP4F13H5F9oeouO8giPecZlXEKL75AvFGD36FS2SbPMikoh0LerzIlxOwl6T/7HP62gn71V9kf7yUlY8/an/tIhIc16KVIxPnT4u9SXzm1ez/EE3dX+aVLG7+aDlXeTVuMoLWmGPs2978t3hvKB3n5SIFRzlBQEAVlA4IOgSAADQQQCdASpgAGAAPkEciEQioaEcbkWAKAQEtgBYj5Vj6+I8zapP2v+qfqn1m9kPNPlhcy/6H7hPnX/j/Uh+e/YA/UX/X/a18V/6ze439qPxu+AH7T/6L/K+8P/pf2A9zX+A/vHsAfzj+++lJ7AH7RewB/J/6V6WX/h/2PwS/sJ/7v+j8CP7E/+D2AOkA7BT+gdm/+G+mD1R/FPl37n+YH9u9ijEn0b/2vof/H/tt+e/sXml/mPAv3nf1nqBfiv80/zH5je0L7r2Jmmf1//O+oF7GfQP9J/af3h/xfpof3voH9SPYA/mX9G/1/rd/rf8Z4jf1X/dewB/Mf7X/x/8F+SX0o/xv/h/v/+n9In55/df+h/lP87+xv2B/yn+mf7n+6/vn/kvnV9i/7h+z/+xTnhiZeQihhDjP0VhfPQ+1MBHm51GrMw8xZP+JXBQUtcJzFydKaPJoJq+CgpHwHW97mI+I3hqH9FzUvBdtToFWN4FJyp+TbNeifYXd4mI3fFahP3woo6ZdiLP+Z//KZ1xSBRy7ypAK0a+z9ILsC1IwQcZobO+e6oV+Gi+5MUnEWB/yyeW3V1W+IbUqIpNlzJu314oywAbWg1qa/vGOHPuRiACgOS3K1vsqreXrQTpBSPCS7lDoS6xGgdO9aftFytAQdP20Cyku3WZ51bGEg3C0Jx/P+FWxfIrxP2mK70yNuBrlcQMdUTs97gAAP7/oNyg/95q6Q7CgMD//HsLzCVYNekW/QOzy1615HxrcZMtC1pd0c/LwyGKXK563fcmaErlCA2J5wIuHV80GW8G1R10WtB+AesVaRABe5d8olIAPDoKfknrW5eaOWaEOsKZyU54ynK1Koj9bJlqUugerFERGK5iVbz2KKFXNw0hzOVEUidtotX/0EdSvbkKFH+rW0vtJimQBzB0A+K4djS7wszjvaZJomzPePEhT/yftOD6jiEVkGm6Sa7ma88YfoiIfmAxJg7H10ZWCjXKvsBTLTJqe0kJ8nVqOAPB6FtODzSWabL0xz7Xc2yhaYUoSoWFYaMmntfQd6YL2UZfEWwmhjGMUzK5DV1jLLfK0vjvM1W0/e7sLbf08W1DzYi7wcCfweN4YjG1+HtR1N2pwi97u0UibD0F5NfwIcAHyB/S8Hb4tZ9cj7fyuyWkzCpuqMk22ZX94oUAySeuKM55wPHgq14IbzP/x8+Qlm9gzxsN4V5Zq6pEeHvCjsAiecvikGLgPToNcQZt1D6dbJcmuRvgcOs5dWyFtY1u8BqQ3IFEsF89dUOUo9LkfTwQx3AFguetIhRgIaBQCGQsSUc+K0mxzuVDxJfPk3i8uQdCG/i6iu2Vep5bQyA448bJaQRjqn+ddNbFEyvbZUMKVaZujsvVT8KOgRDrkniaR6BrY5KfCLg1ztbDAc8YI4gzDderSemHL1mr0l+LFKwP86YoDuMkVUlYt0rXyJxjJouOgimQSA9Ht7PUkOxZNAokMul/hZFf/t+QNibfNtJ2Fac4WUkGW7rNg4oHalr0owu7uGcl7kI06N21cHgCgkFJV3dhb6PAFi1PAtvjJhtRH6m0Ouz04DYgrgGZeNFH1svvK3vEqXNv0bnqS+9J0E5TpU80+iZC5LL5OsMP9T+/OduDkNa0pum+VlsmjOcIr15zZ9Z8jxsrYp38KSTlLib2v4idS52LpKbgq10TiDnAVMEjA8cGGt4dp1t+TXm5sg51BKZVJhqyxTo5JNzUezYvoJHnuV0gQcyV3DeJ5VA/RJq2ouPN+YOZg0oiLbEf3FxeXLsDaRjrQGxVTCz9NY/V++MWLGjqteEhfKbiEE9v9nZhss4ka0E4UWI7oevw01UISFxVGKSShQsCadGj9Ajldi++X1Wun2BumxpaMAmStJ9DyEIeOcj3rkO/Ba8lLAy2zI/HRC19BABQrsDOsIAL+jLYLfFGFWykbLqzmZGTGweFKxzVqNcRc/BeFC7KMLbmW9wLkL69XMeF2NH/chf/pkwg5J83GTjKgUb7coUOXDMXiAyS+/61hAEEIvGWrzc7Xno9AKoK6skxNEoP9tPKDDoDwIhxFVrRlxHRAN36wATXwz8PwMyKoroz4EavSD9HdALgWI19NIZRg8OxmW6Db9162X3IKknLH0ukn2kiyRfHPzgiopSbhbzucn5US00U1S0ozEy4K6q8TbDMl9OShgaQbsNMHwC7heNjTIYI6hEUeNFEpM1VFTziXu71kucE3tseUM42KB/eKlA32cm2IdgBHp1kuI5JlTlGYEZrd81FYkOj//4aA91T6BKp4j9Rjb86+KwHupfto8Kt2xEk5ibpe292bq98XwMVajCM0A+EaFw9O6TmYjLM2Vi58Np45d8ccQrtKIAneLewDzS9oBDmX7X+vGNL8o/QNrfoNX7I4h/ptFx3p8Q0THiev3PkEkq8yM3fqZhOc2UvWJHiotoecnFYuzLOF9+/F5ZDBhT6cENPlUhFuFZof7eHOMruTpucIPMeg/YzqyL4dU5HTMuyQG9Nci1BEWKxpVpAhtfx4DWlxmxT5fV4fRfBU9l8GY1kSSAArpUigbA28vXdFth4Ziv+oLMzcNiuCVyaGH1qI5Sh787ZbKWQHdyWgVcOHBXTkZGi7d3xQzk1oaj7o0Ob+u33DUo6MnnQKr4IkrqPsm9YQCZyrBP6pDIarwS8x4cwWroJ/JW+PvH0WkPebr/B10Q7+SehqLuZi5IRsREgJ8dhj5d8fJ7sqoJETT5jTHPnTeuGDvMveIALg/7xf7oFB+3swy8ZBFFn50PI3O9CfcDe9zG6duXBd5gJmOt+bDhIvtohGz4HZVEjaR9wz6dROxqBbDTcVH9bh7ldhzWI9x4StSsmckzAd9VfL+eA7nFBAOTPXAUIRv4QZQuNjyuDWrnizAnYk4FGBcrwKA5+2C7W5O2daX6mcozG9RA++obTyLK4gE/HuC2AyrQSY2D7rljtdrt/keTHiThCVLh2Vl3Xvf2gl3bbGEfZ4M/zYcRhp3Woj78SbKc/uSAKs+q+YOdQko3JKw5M2pMkvnip2jVqcoHiNozmbbXWX/tyYPZ0MbB1Tgd4AwDSXObOWW9RvGlwbFQ83FNl69MAs8AtUJ8XVa93o2K0jZ7u/8EZ1IP6xCMYthBnR56QwnrTgsa66eLYMPcP9u2LXOg9hI7cv/Sazj/brLUGRqT/DYHYHnsrKp6lKYXoEhJQccZ+zXtchbYphYkVPoXixBQIgAEDqYIT8Javzk5vWG/sj8g/cBh2K62Ed7bRZyqW1dMGLVcPHCijzyh6BQg3zFHzVaiP6B61T/zN7eQEUD9WM8wEtC5X5135Q+jGwC2r30noAwHmimzM1JaCkLa4YnUqDruC6rqRhN0bEo2wC8XZVYhMMB+Y0yn15jhKdkYQ6rqq6I0yWJC/F1o+PZXfJekkDWwRx7ypm33+EWybHJxUr+/cButps3jHH36+fLhrDeWxIwHurU2zJg1SzcSORrKohLHNTFkDl2t2Uiizh+ZfLdervHvZXFpCnUKu9W+07cPYUnuAnLpz87+SRKam0P/5HtXjxs/a0KAR49dGJAdDd7ILGESOO+IMXEXUnFCd9i0UvNXmONqdF+ECrStEp9kGydWpI1p87nZMoYzJ4a66Mi/Gh6o4I8BJW8IE578QJ6aJtLxGRxQGGdy20JFN/OA/FhueQQmB6BjSBooTJsBzV+OHQJ3642JPGmdB3aOxe9K2w5/FtwlO9BiGAJuqzgoq5nees+/ZBFTjsQ+CNEeevCu9fWg08GizJYWbYadLh+ePY26LS9A6EOCZscxxGB/xT94+Q5CITqO6T7ZtCi13HvMsKkAww6wXdViqPuAWVtfrIK9tUM7OjJt7MTOiuWYnL26ezFamA2IyXBwg2p2FW/YI15ZX+mY3wxWm5Y3UHSnsKYiDilzXRLRXgHZHbgr+MszVvvhHCB+Qx7uVydYvFUv0T3FsUrFIYQbQQMtmnO1yzDvLVYOYUmvnl4qRKbMzIVRgIVIiOyjdZXkFn0bxK6N9f/u4Z5X2pFZtPPEOeXUmNvAspyzl2FnbvHc//TT0KejnBY7NSskWGsf5DF5JltbJcehufxBhHGMo7bOUSOcKo+phZSZsSwFJ3t9e3ZCRyViS7FDbcvu/F/VMsdeINdhFqAOuNReSdHh8jOB2X+YDnQGcrCu6qxc6f5t1WDzL/5J5hHIt5tyX9sGJnxlh1VSJ+7PuJi0+rn0R5s9IMslVQcEUKSU1mG6nPUWogRac6WvC9bnINlMYiOdvUd6xFtsByrTotLyHanOLV+splj0suGoiL0MVthzr9pG7tywAK4TaFZPvt6uvCeUfzoqNphblAcPCK9Dcq8KVxu5CbXjf4S2AyoWfFfv/RHHeMhr70BkiNIpyaV5j08fZ7CuDX8M9p+IBrGype/JpYQVDL3Z5r+hIN/JhlZLOhDIHNVwISm3KjXI3n5MkZCGxIssOX7siTwrIbj6hWlJKjHIvpt9q7KDi1fU+Pb5cxXm1qVNXDJlRUyDgsQYp5b/R0DdPk1i20eL87IJ408Ft38ZXqTaeM1iAdR9SF5R1+luZPXq56eqbl/4dUERG64xdt0jfFNAV+SytTla6L7pHNpEDx6jMOiQP/3/WlC5wLMWGdmoCFrBnn4WT+Z6qOpA47yiIPtJTcEBODolI9Rpvx2ruY+HhoQP4grvDg6jML7G8ZBSAgsebD5hwNGRzCCvAJboivmI88V+aGl6DdwENGupn6e6G6v6XKPsy0YuKaTyjp7jsw+B/6BGLGjk/DxzIpyHqJ/O3tahm7nfm+i5UrLKGiEsr8h5QkgHw5XePB6+7aBkfUmh3N1JbojNESY4vFokd3f/E1XkChnzxojJN94YPMX1fChXXiOuTAo8EJ4NZFIBJ8doFg+yrarl4mnZyy5p9iomvYRAd+dU8bk3qI6aC/gIEkB3oK4toXfoWJZILvFSz6Q3Ux6+AktKTE2t2z+iMWD7+hK4z5KakoFT5auLpI/B1UArc2Tyx9S1DSYsETQ+quSrRzMdNLWooqwjoWD5sU4/hXmC4Bs4QnnosJJ3cM1ZZr/xNJ6LPvZ3dL8md2qPH1s5r6V0aPkG8+EvzEjzsnaMLMbOztTMoOWklOF+eODLH96oFvLvG/mLybdFLD9RiQj9Ydk+AQ41dYLXxhQQj3a/gcQI4WGtjgsa6o7+HssEBZoKsN081rM03Pwe4p0RSYyxmkkqh6NsC8IbfbNQ+hcyt0sPdNMI8ITlXOrEnq5zGDMY2xpLimvIbqwF29yXLo6aBryw5qfiD60xIt9Ubx5Ph/8QWKKoT9DpjHxkWr0KkOxhzho8t4fu8bUjMDWT2WhTrnHMe//EzsMfPEqS3dXGXR/jHm780Uxr1oeXp5XEx6eRLx7r1CYe1SpghjMDCpe6OaIUd6sJlaEj0aohSeDDp63+47Pifuc+b3oxtRuUappCrT82IslyXxvzOKSLaXZPSnlRazCv1/UKcvPBmvENlTyLf5dahD4pbn5bg2WsEXq951Ax2Vl0eFkDIdr6GViuAKXZN5kspeNMc5sPHpaIa8vZayqxf9++xE/MXKbhH2Ons3wsTTgbJ51c8eCrI4tXlQlOArJKvTIapCTbY9LUGZwjM31b6j5WY5kjLXZTnDPf/9ludHopbjs4lPqrUpXeA6PvjhyvtFoiglzVh9zZ/Tdb7ieOUpSENvuNO6wnT98j62kqUtP3/PVthcJDWtYBx1Pv0kkHnSILVmdnJXceOoikxytYkbkt69iBuMlN8rvhihpdVlFGlhcLAXJFJyY+MTz6it0h1afnKODKdDFLTaPvFinqPX2pcPBQqMRNVmKsakhwT3ZWhxkh/kMaUCSzhMQ6znpF7Iru7SnwY5hCY02Id/oEZ2MPlQbtnmSFON/pZ6jgTYtxeaAwnnP2SnycQn+E1kTNQNSmQ3sXEHB/M9bW7EfY2o70Od8VA2IAH3cf9rQjspev4PkmIjM7GluzUEUpjkawmzq3gv0mm1l5thFmFZHB7B37ug8LCDy8KUTf+4ATc7KmT+3dWbygns1iGy1T8B+Grc46mlWzFNcmCwx3pASRD8yUt+JH7CXEPYpibQOCP1v/A2BGqxWLC/8WEjwauMwHPghDLfRw9xPK7yZdPAJhxAVnlUza4ryRqXv//+arERC0OoxBssbSIgyW3jjKHz8UlDM4FKzaX7GQzt8JB5QvYdWpxLTa7Row8KBMQTPqS7bSKUjBsxolUR07L3UsxQFLIQ5pPR7KVex4FeOZNXVAbxZZvG0a6L7X8ehKdRu4jcaEs+JlA+ZTuC1q7wejX5VEFNBqmCJvJDPDQHV3+G+V/KinljKMVnnbtibXYn6FCIzNm4CxAxW3j8WoV5x+MRECg7heivcJvhSsjDjA09DJqNs7YrZ/x/4CnbEdaxp8BD/9rr8taIgGA9rM+4BmBWPR5/PBqxJzGYLg0AAAA</t>
  </si>
  <si>
    <t>data:image/webp;base64,UklGRkgdAABXRUJQVlA4WAoAAAAQAAAAXwAAXwAAQUxQSAgLAAABDAVt20gxf9jbPRAiYgL6bGGEYMzNcL5qHlQ+tCp6p3ZreyFZ39H9JJmZY7y2bdu2bdu2bdu2bdu2bcxUVfIkuT90z3RNn46ICfCabduy6batVQPVZEffguiSmWPoIfStqy652x4DYwhdMgTQP9VZoap6n/s64RD38z7VK4OImAB0XCvADEffddtZU0PQgUWAZW/8lyS/nESk8wiw8Qskg1a9PAKu4xhM9BgZfGYKPt0H22nEDHmVpZJk8oHvCTqtwzYs2DT7wL/GQjrOtSk0S0Fjnh2m41yafUOKGjRwdbgOY7E+PcQhoxX3ai8RY4yRwRGM/jNbATKh4nltZJxFc3FW6oPFLXzkdILnA7DtIVYAmAlnmH3myYcCgDW1OdmAT1us4Pk+2tMCmGO/uz/9JzL1fv/iBRtMiPoFY/7K1JIUAv8Y1Q5iYTd9OpLMGryS5G+XL9YlNcHiFp4kpQohpZnawACrvUFqWQaNjeV/vcqnF+syNTlZj5sLOITA5QfPYPilZOlVQ9CoMcWYyqp6fwdA6hGM+lcFsTRU3GHQDKZ8g2NFh5w2dhqZlLxqlJFaYHEdi6iNc/DtlzKY9HM+KmvKXVszYxmfns2Yulaj15hymjn4yQuJ7XmNhZlA2xOaSPr8fo9IPYKhP2RPkjOL37yQxSUsIoBHmnE51ciCu8HVA4cLWKSU4szw17dexGIlVkpgjWak2t1SyD6/baQmi8UYYkq5Mzy+/RJiuj/OVSZINeBx7WQypqh5bmvrgdgPGUmiMR94CYcdWCYS2iWDDsNaQWPwWvAAdNfkcCirZsMXX0K6Ps2e/dftk4gcfKPqH9vD1GMwVZUyidfiWy9gHz7DkSuj+GYDTckciWfBSh2wuJ2BZKo87xqUn/XG/Yw9kpwCXsFlweNga3FmH3qS2fs8CIJ3/K/rglwDNFbAs5LLkovD1tGNGxhIBh+4R30Wn+emK1G3PQpkae7lIy1YZwB0YeFKc5P049j6HL7TR1+yJNlOaRzw0afeiSH9iQAQZ7DBPymSzFpxQ9Qv+A23XPCxxpKTxJLGZdSKC8H2IwaHnToXgOOZlGT2JU+GrU0w+t8cvYDWmnWscQCaUaIPaTaYZga4mMwv7XM3fSQZy8gTYaU2g7mquXTaaK2RU91ulVb8bgikicXQu1kWStJnMoeSvdvBon6LNTj+D7staQD6Il8Li0aHiV7gNvHx9JTJWCY+OycsBtFhJ266Mj2TNJry6rtffp4VV2nmMNMnfLKmrWIOJf/fB3AYnEN5ypWsnq2RZ/nVhx/csfy6SwSAw6K/sJzgWa0G5dOzQgwG6RhuyQVGLvez4KvAljvDArBYq49lygotCeqPEzgMssPBz1mHLVuSHHocnITmBjsyVSHTWSXTx1NhDVo2tsVuuwW3+gpjaAvUpuvGHdBjrO22ezJUOfnSVpOCR3f1GGutNVYGUONUoyRXsLhf06Xl9Gh6Xu7LMadDZFSVPBMtC0YuNt8CrS70ZxYqzlnWWra75Sgp+cACCy+wwMILnMFSU2Q8E49K3rPAwgs0zr/gDP2YEa+w9WRSI521tI1d0iMgcTeuzSx7JlG4nxdvBoPJfo1F8AMezbhR05P7VT0FMsc6nZEtvKREMzNrrwpuC9sMFivQJ7ZuQpJroGoKDXdjqnpsjRPOK14Ah/4dDmPJFHO6bBWi6TOQJ0jL3S1DFC3J8TilZvEFa2UA4nAPK8boddmlMn6OBzDRPhOIvTS2ZmSNXOWXyWEwUGPGfJkDNZWriVRwn1HTuux1wcZojVwX7GZ1WVgM3GJ+H1KO7hWrBpzpJcCaExuqYBegFtjhxpfg0KrDjqyY7CvQWFjRsyqgCsTFa62lWetY2Obg+w8OrTtcwYq2L3niOtRXdGCAqGADmrWW11qriZGe7wy1UoPYnrcYsHOlpQZw7/WwC9hQB0ho0qSuI6P+OyOsWGdbgcEM/6pr9wJsDfWdHhkDDkQFcDmP7ZQrroseNHUtwGFdHo39rEy502UKUcHmNJLTWLZDz8MBYPIVDrjlyZGtwOFkDmw/x/VZvQwQQxTuWjPHmNj4fPdEKx1w03v/k3wWLYvDL1jYueLYuLFtKUBnbKfU3TQAbsYk8fN/STJV/+vRrcHIe/8ZYfeCHEhobJfNberJWgK6QmMRN5OUuSqqEFPBVWuAfXh/V2pfOLVjpwANzsysJSvbyHag1kxQjZkko/45pg447MeKKfoZcQBaupbHR7Rm1uK0APXIKXdzH8+GqwMOt7JidK4BwV7B2pfXStzGmpGhUrjaSn+bUEwtxo7+goFSrnjqxRwDMzOW2jTWzMixglTuN16eq8KiZTHOCTDlT5pQaG0ZcqweK2uJjlpaZ8ZrUnYlKkAba9Y6ll8XDgMW45xB48j5N32NPrFmZlTwmlnHOIXGnhnJtSRObRkgs9axjpm14qEw/YhxzqBxxNxbnv30TyRDWCOnSNC1LNrG0ozklEyh8omkAtXMyClR5LwwzZqOmHuLs576kY2h9DGV3SrQNrFmZB8qpwpwVllsTrlb5v3hmvRMvsCmpzz2QybJUJZeE/u3QmPJXuMUaNytKlTZbHu7XuZD+5nqhG9J8v//Sl+GxNVao5mRHI3CnvQkAiJ2xXpW+7hDP8CwxY55qSDpfVSfNZaqkVPAqicnzYkM2FvVqFtjq1t8mgumiRgAmHnXe34jY1I3z4zsGZU9Ap0YA1SFKpvVjCxpVHIy+etuSBNArBMAE6x5fVIBVClAI51Y9KTpiQVEnNiWq5kxEfst3wSLARtngUVYebO4mzOZCCBNNxmwt3qWbCux5W554hZwAwPQZc9jkU2BxnbkrSryZgxQBapsjuQ4sct5Rv9OAGlJzHv0BSp7ZkaSsllUAeqeREDEiRvH43Ae+ZGzYNGqwcyqCpBIToG4m0wEkKSbneKzU8cFaDyjG38abaQlh91YpM025zZAVeTNGKDSyMoVquYYNYSgwUd+MC0MWra4l2UGqlHPJpsFClD3hLaWeienqCEEVQ3eJ7I4fzQMWhaM+j0HAlGlbB12uRZAmpzsNtAUNYSgqsGHRJLx/ZNmAQxat1iJZWyQqSeAtVUzyibMlbFmgqoGHzJJpu+fOnebOQ1gBTU6nMkiNQlEAJMTJwVwetZYo5GtECJJ6pf3nbDR7MPR6AxqFfMuPQkRIAM9u594tbFmRk5bsf/01Okbz9qDRuOcEdRrMIuG2GBZMwHia3FGMyM5paHDf3958Y4LjEKjdc4IBtFhT/alBklKACzfaSw5tlN2jzn46nveAwDGOSMYbIuHWOaGlvOsqjHnFDX4ME65GEVWvANzHrJhjxW0o6DnO/omF1MIKYQQNKaUwLpQmYEfjTBL7LZeF9pTMOHfDGkATVE1hJBzTjEouYh8z2rU3tlg3PRjIO0y8heqZkJjzQSNSUmmTJLFTwxWzqy04oZwaGeDl3NUVc3MOM1Ji3zlUb8k/fah49eebuwfWVjdonDjKXAAjLSNwwGsmNRp4xEbV8T4c8w0FI1v/0+uDFTm4FE4QVuLjP6OVcqWCvDf29fssViXAwDjrLiHL3C0MrWZ/mUCMWhzg4V/ZdP16udf+fjkaCrGCBrffPgmN6xYzZr3waLtDaY87aV3Hz5pvRkdGq2zGKg4PMaKMWrKFXeAwzho0L911qBlIxP9kJQaWfESOIyTxgmMs0ZQr8USyadMz5edlXFj0B32YUmNv00Jg87scDOLwOVh0aHFDP848wA4dGyLWcPNcOjgFmtMJNJeVlA4IBoSAACwQgCdASpgAGAAPkEWiEQioSEc3lZIKAQEtgBiTOB/YOVuo3zP8YPyq+Synvyn75/1n9p+pImDylfKPy3/N/2b8pfeT/jfYR+aP8h7gH6bf6z+4+zj+q/6r/Ae5H+k/5H1Afzj+1/7D/Dfv/8Lv+S9gv62+wB/Gv7R6VXsAftx7AH7M//T2Wv9F+3XwL/tH/6f9P/2vkJ/oX90/8f5//IB/6PUA4RH+b/hf4B/6DwV8MnmH9V/aT91PcBxB9bOZ37Mfkv7f+4XsB3n/D39r9QL8k/k/+a/LD26fd/9P2q+o/3f/heoF6v/Of8v+Xv+F9DrUR7r/8b3AP5p/Of9l5TPhJeVewB/Kv6l/w/8V+TP0sfyf/f/wv+b/ar2g/lv9x/6H+S/eP6Bf5F/Rf9f/bv85/7P9D/////92Xsa/a32SP2FeC3KfvOJ38IA625bPvnbGk3aSMXvRoPKhC26hF1DjfL6p4H9dpbPQXjmi0qaddPJtFqtXv0R7r3cluzaYBtgGoURs3eXAvJNBGAfTKL9z0gV28QjDn1LTT3jLaun87IJHmjR4NqZioc8NyB0pSvnEQ0QlHmWxT2FlSXokN6FLZT5lX5ufGdA6a9VicMr+TKziCeFRUrPyrKA9DCc0R5wjUdM9PhsvAew8sv52Czjkh9D+m9bN0pZ5sHEQp3luZsB0rFz4p/2D/uHAzshJNvZefSah69YQHz+c3qHAAD+/w1kXylO2JKHKsYxPhOiD8J96cEMWJGJ2wZRtgLQ5x3oCTcgRHxeyJXOxsHOJREXIj6jKe1tJ9dBtorZtnlFotD4CVAtbROAl3Xe/7aW3/UDT9AYsq7gEnuS952myv9HwKzDO/PXdSQlRRHELgJcoNVKmtg3UbYN2TRRrjOS/eLpVdoli1Ginw+i63zs492r3QWLu1N1H0QBq6xRAPk7Vlh2/qdf54wB1zNeIOfwIMLtRhmT4sGukg5Rtdk1uv7D9P7bBQnefiRHYNHl7tjB+5GLtvuvn81ldaAY3bgKFplOSdHilrRJ5bgQqnBbONMM4uqpltz1aaUwuW7kOo3y7P8G5VdPPhNVFeB0dkksaV7TXwmohOYhKWGz8ksy3aXJuBCqPZtupmilwa0RrSnvQhlyg11F5v63/yHVkAKToJV6nuCJrUDivtVbH4sKSrvuHDPg+mFFSTemw7rGA+q/SE63/MZLEifZ7eXkpzxi7IPQo/pqsUI6GKhs03kXK27jBXGE5AUDao8WZ1fcWjRhfeaH8dwridHb1v1cinQ5HZ8V/eIcRB8mc6wLHNVuADq0UlPeQjLDTG31wZ2+/70BevYHSc+otekC008IOitWuEfowYd9TaX/iQxqujFAGS7MIoThfmIgCGZuNWwp9X+CqTvrg2WgJNxj7C3kFwY9oJ5OxHd4CnvnK2SlTMBF8VExd4V1jedGubcz1Thn8aGEHmjhH9RYW/MZas7fpbNTtgzbomp0y806kTlAkzSkIgq1SAf7cuKov1kWqdgFSD6iQX5rPUe+uaWV0BpTrJBU1ZAceR1rl+ejygPxqAvZL8Le8KJIR9MS4PbO8DORF41mlupX1HKoTi3sl/FVehHLluO8Y5O3RTnOuvZhty9CWK47Xyc5SV4cYLplI81adMlSHfYslJckaH0he8r1zbCw1uwWIkuHh63AFNOp4MtYDcovMsd4Th+m6ezr8AY+H3Np0IYRqE8jF2VwpminMl3887A+GCX2MuI5VM7F2Ns6L7qQJ8tgVTZvwBuD8AejRpxvtHjLHuNkBKPu0DVZ16xXESmljxkFDxwXrCrybq471VqSHG4rFbRpkV+ZVD5hkOuZtOFsuJqkMy6nyYVhqAiJMJCuLPyzi09DXc5Oj5Xor/KlqVuHoX+YVudxDur0IuryaBTBfPhGTvhElaIV9RrCP1IGFo46dp2099snZoDSdqAGbxEaQ5VsbUDoGVelG/Re9fIsQG2TUoKef4QxDfdzI5VqnfvdjU3mXUNhxK9gTCAfT+wXM6V0tLhWcdKR+lgppgS2icyHS/A4dbfQVNxaSYA/F8F9N3h2rYM+qpt9f68wXdIVvpZIZARkWlbxUAkR0wr1Tz0NhjV79XluBY8TG+a7Fy7SeWfjE+xrgr7/LSFdg1NaLTFZHCpfhY7w1RgL0GHc+m1QCVqOEZ5y3US2fhbfbsBuP0a+kq1wPeFd6erCZ/06OsUwsKKlmjHNz+qiqNO9hm1S3u6nocLzvebVQdLM2oJv6YArckFIMvqve+Oamk5rvGshndupM/JjsmwXFB2zazKyvAQCeqfMW4hZAu9uijabpcUWWICDGRUhFcZiFjelxU5EqbNdOTUes2f7VpMDopusIv14CNaElMeb8fFN2QC6uVhe4721EToUh3h42uUArWT9dpijM80G2GsRQR20DXe2koEF5xttZlMqcJwubZsfpySK/D0UOr7EUEbag0guujjBgbgQlSrbZJfYrhqj+JdgEsj1PVbvf21z2obzADCYNuca+dEiG9XAE0RItMSYxL0yZVilSokIaEHZn63mEG71PitJe0aNtOkqlXKwzYwXpAMimhhdDZpU7IxMotfttr2R9KtgZ6IFATuifBCKrjN+uL4eN6As4WSTJFBpm95/rGAEaVBP5MXiib70r6j5P1KPH1b2h+BY6tsYBCl97/MFm1PyUEqGwXvAOD6jRjrNbmGKzpPkSgXy0/B4rUfLsgLi6kgQV3c6G8bInXuYCP9byU5iImj1iedEE2izSmNjYKGQHLw+Au1OjsgpL0Cyfsr6cwGndyPRWD/BMvx2/INYAJXBkWW2xh6dSkAXnioF3Jha7NYD7woch/ygxQUfpxa+5hE4GMUAV/bv+8Ie7aN6BpelkO6boxdct9avUAUkalIowRIiaxEaL7ChymWlDtL7GshEnlq03JYwNNtp6u5L8BtpuD3CJBTewOzMdHum32FYjrI9JH8lrHvRCQyVOCtHlNFDDh3EQQLGd5mWpeM1sepZ61su9ofYuaKCWEmTqh8FczREnGuBJxb7c3iRQ/lxB562Dmh8tYsUTcL4nR8bV183PDSrM1NCozOBbuy6VOX0it2d9qEgfzXguOaKpxI10DWnJKfOBBZ2577yplPIn9JmAsERJ9Jzun5PJo75Q10CHWEcn862sfPytuoGSQESeUI2nGYq5kdEB6cLNjy3ZvXLk5CbCYIp6wfHKzJg4tsE5bMKefb2xmULyFt3PHyrxGdIpKBoC3RBDZKi/viXYeArmn9gP7WieMYK2Fd8cZ5DjhQO/xJgcJLRIYzu3qC4TVsQiUWAFtdLXFDHPWhtg5vjwRqWyKVpRsJNvoowziz9Dkb+SlDziEyC3YuHK6P06B4olEijpyRT85lXPF+GxSYl0nGFfVKIKucc2AS1wqkMXq6otzKtzpAJ8xcSsgkojj/MHUYAWeT7dGM5Ep1NQY2BbXPb9avJ2XzN/qygqNPkn6CK4/RMRbrrATXNP4y4hC/JQv5BeAHVKVHKEGpJFDigNdQgjnxYIgBtMovNqMjoTsgm0ZrfeomLVjY1v+mNOsa8GS5di0uzNPc0vtH85Yq1u3L9NV1LwmMJVVlNBKfFE90N1JJYJt27smJqFei10lO2ftIed9I0NISOWCY1a7dnmkadr+JrqXt+I9Gj4mfd8j9ToImbIVrcqZjjyhWhj2VlsfDtGRlfK3uVje9Uq3C6WmSIat0vYV92nFTG9dHPEmfDXY0T4SBGqC/2YWNsgTVPu9XtAlOMKHdfjWDZgKZf8TAYH39NR/kmoJHe3mfZBU+v6aNPgDfD3hR4aOMymgB8befV/pude8F6SOp96lBTjivEBQfDfLW5zV7/AqSoF1dV+1IKk2X7OZHEKz5aMutZ4EXclbzi28A/kmLxH4rW6WL68B9j/VBpgWf6axeclAMuZDKQzkxVBuBPYMs/kdHrJZwZRC/qMYAX37Gjqq2bFZxkDqQvR+C40qhmT/LDcm5MtCzMsFIi4v2k4PyK6aDseU+BqGRDtVCM1sGohAAurWM7XD6hwJneNZuSVy3290F+7XGxozkX0LPMIC6vfd9i0VTooItHjkRbkt+BGxRB5O4IM5jJenZ34JIjuTa6PidF5HLwdAxDetKAa0bGHeUhZqSccSLq1Nxb+B87qBM0nUhcBoWkmAawfVEo9WyfpcQqpOI+VUf6gTEihzjivMRcqcI4zldQTvi5q+3lkGNQ40UMPTQQ6rZRXnmZn8aRyhE19fWoE62Vqv3tTSHip+h0DcBaE1+HueP0Gxs7a913tjZEaim6ENC2qGeheZiFX8Fad/urvS+EJmm0f/WlH7CjlPr+5fIG0SkanjyUkX2IcKvbrd65m+f9ujNU1mnsEgkPem1+CMK1Qs7xtsU+DUE1oIct/ls+vfrOEDnzq75AcJ+hTrBagOKElb2zDW+yMdcprkNfr1Qhzwd7a1OVliJ7vxy+0pQbSF6j9gDPUP+fydfnNh9kDdxvyoOmQlUW2gTN4f6HTm2nuBrd5yyW0LAHEnk7nvJay7SUsp2FJZ8N1SfFEgzPPlj5P33P4KpaFOvsYu3cZ1M4k6vYPb5ILAHcQv7+3RXPQa8W36HiKzRq1FJBtQt99oTdFm+pI80zwXkgT//WvDjd3fYEZGcCqGShQYSoWn/Fa2VgsUU/uKdBXpESWkyqpNwLoPHxO5rribrrnSjZsxfwuTn0aSJH0f4xMqFJq2tN5SxsNBZWsNUEaXlgbh2IolE9KbfXM/+Tqx0CWBxbpp6tRK7QnEDenN6DzbqPSmnxmkS99G7GMZH+DOGyWBuVwOBV4sQIF8Ndd+Hm9GSUwNxJ/R/paL8bssbllrEbynHM4Qrlj96RN0dknHIlV1VkM4tyc6FOSMQeD959+Lr+DwAX7u9241EgobIFytLjYdT5EML5i74MuDYW/cvooE2HDDtG4D4cdguPrIqzkPCBc5jfrGnp1+ogbKQI3d4d0pFCPmGgWuW/5dflu6M6qzgS3uTvpe7GlbvPhWNPpbD6CAkebWWsOh4gXSWo+fz6nTWPCCZDs369BERPS+InJfNtTS6Tbki3RzLQJwIaxFIxw3tot/8t7yI0Ncu+yxJ7Hk6DqKV4PRIv9xKMGgtN0isusf9e/+n4kWy5x+Vnz1lEt5vGpAylp4te0iT3nYtPI3jsWmnLG4r1aU3li3QtnoxVWMh8kXdB2TKg8yp59tAj/3h4zP+Z423+6WOQR3X4Ci3mN5speXzyV3zln9eKZSjp3VKzG+wnyfg6p+YmwbBZIFnXLuj3ND6tq4m/hOPxtmQofVovq7a6OwK3mHuxWEvFU5xPZjqFg71pOQVKX5C77VUueV2Lro5GSvRl0sUAgwsqkFvYc+D6jl4N3XjrNPT7Nng+n7xq/+s46Pgb6Z1RLrxCZIZk5ryQVGWH8BpoVn+qmy0TjsJ7IkEbffy1I3U+401Yn7TI7y2JClq2xlZCZb2dkZT6AxvR2aD2G3V6+KE+P0bH5CwWNn0r99sD9ozMVKEJSnerQWLXbJYZ1P5FX7DOBJjkPd62G1hxyUxXV3VU0PYHx4M3xgnfVTN1vYuWnTiQ8Si0nPc9lAFebjTLmL7m7AodUnfARFq+sm9K07BVQ201u9QIqFvs1LyOH3XB7rmgmMA5j6k3yW3QQArf4AW3KnAnizMAsYWD3pvFVQdlTTZ36TJ71qqh4T3VeJ9ian6FESDBwtFi1X2xaCbXpv8xP3cSNkbdMdehNwEbdlRLSiPlJ7H+ZIcZ0QEIUevK5wfKlOuHX4Qq/urt9SZ+ZmS06/k68UDOFE/DUYH/4UmPZQyZVufN9eYNaEDfbUroafdlOLDawTeG7GUv+h/iWUiOlb94XE00ROfROHcxpQ995eKvEZ9PRQiTK3GLE8w6tCTOjYdBxgXdTqk3qBPZ9yzCKsw/g80V46zIpBI0kggmtYkNvkizmFqbZJUou0aQRpu+xkbSwpq3Sf71OAZ3wyfgZxdsYhDHmj/+cOBXdKulDfxUeIFV7UCDmpj3EDwTle2Tmj3gab5QRGvftGQrNEPHJsmVB4aQ9FBRyfKsmlP0A0+2Tk2nxl9PPjNU0PI9vnP7G5bwQqHHiTb88OGcavMB/i+azimKY97oM6cSmr66GmKLrwRQRJEV/2zG/uRvSFLycPtBc3rEiHfFTWGWGtCGUmlRJ/5CAAAAAA==</t>
  </si>
  <si>
    <t>data:image/webp;base64,UklGRmoRAABXRUJQVlA4WAoAAAAQAAAAXwAAXwAAQUxQSPICAAABkAXZtmk7K7Zt27Zt27Zt28mz/WLbtm3beda9KzhZ+9xzZvAZERNA/4nj564zxOXEww/hVraEvrt7zH1UrSzxcKTtuvpSKKsHn1rdIQeCuC33frCy7p82NUpirljF5gSzrV8vzmWiIk5BbMQvLqVNkszlCxv186IMJojbJYSN/HpAHKPl2MsGjw4sYKwWH9j4b5sYKPEaNmXk7CRGSbOJzRqQ0hipTrB5z6YxQoYbbOYbeWyX+Tqb+0QGW8U7xmY/ldQ28Taz+QMS2mQmA7SOtUXDKAQcXkq/rO8Y4/NMum1mlC56NYmGwbX0SfuGcV6Po8soRjpIj1TvodxPoYMdYx2llvANmCcJlPoy2vYq8e7AOa5SjuFaCypMxsOTZPHuA7oaW1TUAig0l2gCI+4j2gHJW/QE0jVJ8mhIUfEEdRhzGcFQUN0F80FNFLiBWiFYD8pDsAvUZsFBUHsFh0DtFxwAtUuwHdQ6gT8oJ4EdqAWCqaBGCHqCaiIoDSqLIG4kpDckvQTpqMgFkp2oPaQGoixfAX1LIqKjgNaSvC+g1gqZwuGEplSgDXBcSbU6msgCSnQOzD5Sb2nBUl+HBCegbCM9jkMZpcdShno1sVrZGCzcTinhTQZ7IZZKJ4ZbTyHhHTyHFTow3vAsst14nheLJUoUhOcUyesy3msKUwC9VHABFESUsaQgAFDE4MB39gJvQL/2FizEFJpS0AbTYRIm/GC2z/oMlNBQ4329Jgh1zV47Wo9H8USJ1ojeWX6JsuhnueYytEAG/0itU62I4thZf3ntHyH40pzksWYG/+b14Ewtdt2+tLhK21OSoKda7/fdvmZXJz4RUewGa689uOxQPykRUYKOR2+fGpklVnWvS/fPTxkxdUjj9KScqp3jjh1eIwrQ72Ov07rRZESDokEaln6EtEaUVkMi8mfNUwmQxDrFmrtjE5WP1mpOSBuxZlAVothHWPNgbCTxrmh5EFFL1owuR0iHsWZoVqIE17UC6L80VlA4IFIOAABwNwCdASpgAGAAPlEejEQjoaEYDAWMOAUEtgBh8BWogk0WD/K/f3i5jK27vRf5gH6l9J/zAfr3+0fvE+ij6ZvkA/oH9360X0C/Lk/ab4Sf7J/rv2i+An9mc0Z/qP0q+PH9e/JD9t/Xf8O+T/rP5Nf2nmM9JeJL60fdf7H+zH5e/F/928G/hv/W+oF+NfyX+7flj+aHGg6X/nf9p6gXtJ9a/w/5lf3f0AdUHvn7AX8l/nn+X/LL+yc5F5b7AX81/u/+5/vn5AfSb/B/8n/DfvB/vfaD+Z/3H/k/5j8nvsF/lf9L/2f9y/d//Qf//6uPZJ+z3swftN+gDfDDR0/pxAQkJ0PuNWsriv3LGgz0pnNeCuCPxUcNC0XNeZRXBkzhQQVLoOaRJMQyVKcDfPGvMnWlUeF+ubYiwXA1ixfTL6TN8bRpE46E0znWYYyw+KA4boIrKogeu73WyyF5kjvjowAEwOTUFwGcBAaFSmeiKHLJulfdCmw0tZXxzNbpsujea9Kxe6B5diuvalp/Bwu1oLXQPPheXNOxD1xYBprJ2T2z3OmddCR4PF0vKDUkGf6YTpnMETrq/K9/z5+FtrJ9If0r+H5egAD+/w1mO/4bjn/oeKv3aC29CzZX/2Gy4ZmT4sR3mGoJQ/2h5J14nYaAxwLgQc2kT3qSZZJ9UpDyHM52XFd//0Pw+lCBkn5Nty/xq2o/9RDKnoblRido1wR/IjSjt3dTOqtLwHVG+ag5I5184xkE3FOy7d7B2L6X/aTkn1Hqfn/g5eHukTrL+I3AYe7PK9yXZ+8rsjvNa+TBoCqIRjtZAWwryqz+OXej66PwDrbj8eSxMmNaL3OAtI7plZ3N9fOvlajCRwXWVzSOAIyxIBVbNOp+hdfubdC/+53FNLZdLHYfZk/DdriYrVZQoTdKgP8aEOLTr+RuaOcMbzn6k+ADVAld5Pfhb8MCJESgLltiKV286wtxOEUMvS1f+Kxnc4eYvMVSv/E/O8waSfZy0xqQmLkyiXV2VSVG4pn5AfFCvoyxHXqhH2W/5diYJrmVnV71owLtLclR3oNfhyBKnAu+D278P6LF2hshbPYkkIdJVVu2mwBxH1+GlkE8bjfz87GHqEb7gXg8XOEu3myrLwnWmZCJrX/9uib7h7/1PPLPJUAlHaRx+GnIZd9KY7PF74dA8FPzMf+T8Ci51lLxqVV3rYEpLw7u9LqQxMmCvpeI5Q+aaYgVuXUPx5dXU/niAtBN8/Ho1I/3LasLU+yisEYTW1SUORSBEmI/a1BuR8D27h/0evrrX0gJd3lx8Cn0N9h7gtV1+9B8HU88+jw1D/98mT8oO+PHrixu3Au0yrnwspPmRRlumsSz7zeGdmbycrsYZtsRazKjbbnSijgq7ZPDM4Y1iaP5Ga4Fr6HmzXJp5JHomg9YYQR3h/hv+Yyy8cAjI5ppAZJOtxiSrNr01zct5gID7D6Q4U798yKD/3I1/df5OMb9tPUoxdU0GhW9fdb76q7IpeUuqsS/FZCLgdFwhblS6Irk2Rs7dUBNJv3OH3/wBDaQgRqZxRpjVhcpSlnpzJyRvR2x+frgm0A6ybrsLZEKwUWaIZTqW/06YR6j/88Ss9TmyZ+BgYO+L/MpQK1Whllx0TnnU3/bQcXQMfuXI6rSjRqSL7BKHdPyx7iByz93uU8unA31k7Jffot3Ug5Ddqw/RyNBZx69QOzxhAdv4K3hiTiccm8Ll8bFnCbV1ycrCDxBQiVgxOsHFJxlvBnxYLx52lz7ca642JNDS0idOc1tyLc/7YaZ6QL4ktqpV0pmFIdhMTktFErzMtRU7MmobwUzVLtiXKKcStv2o/ipkUYCLgj3qXY4N9ScX0v/Gex6ibb5fLCU21lYfIoEvMi4FOd74nwpBsAxa260tWH+xOnGek/cly86GXBtyMc0FISi44JveZkER63EwxHatDIkt4k/2BRTabFhEfPhCp0kTRv+KXq80HDIxsalN/MgKMIZTLh0xarefB/jkNdbr/jtXT1dem4hY6eApfArcgtRyOKiumtVLKs7kjb7s8r/a8kq/hxbZ2yben+izGJ6HyqmLb7pAHXbT6rkI/60uRn5MStO0IZcyfGhgeliE5990rr6rLCz5omwM5B2/FHLMTMO1z46Osm8dgbMeMvxHS5+WvCGPs2x7gay6AnuZjllmXiEWW/56VRj5Ndp/cLJTAq02aAPIg3mGGdjitaiO3q/LPY8COhRaX1qlEe9f8ptJWtLL9HJTXQFXEHhmG80s6M6dvImzdupQjWr4Et7qCES5SoYQmvSh9DU6PM0fKT8i3pofKsAuxS3S4S8yUZ0gIBQ1/4mudncP1pRnMSfIpjD7I/i4BziW2iS4qq2O7SFF/DJuo4+m7OHaSiXkpX9/D+1KmIb95TUzlVOhx4bVcG1CNbnPxeMhxsBFO0IUZZ/zlBOgBULhHCkFSOzt1jWW4b4TBzgQfOECOmU/BBP7Y3poqVnzzmwxLe/1ffP3yjcYRB3dYEP8uy5eVJS4py/SdgZoGL9EhPHOWSrGKFEMt3UcBMH3P3pnk3XSbfdepgZ0MkuvsWWvj1J/6G7anedlWzh4HNcRpb7H24V7oaKi3gmdKUlNgLVt8wPP4zNYv22AIZh5EohYT2bpRpC8dpbwJ59u3r7WZ5lRecN0EW6yfRd5G2bNy8S0FsV/dsxZWYebY9DScXuZNyPSRr7waT+7q0en3wk7jI/vc6rbI19TjkhBKy76Peb5hu0IzuAa9pkX4tcVrujfKF6iOMlCx2nyiShf0zfHncQD8mIkx+n8rUwV4XZn/nOJdGp464zab/XvM6tKvBCoN/2zYJ0rBCqR+RLEGNUuMI1f0Pn0mjORUfkbuWPqBXocX5ZnPRjT07YI13alSu2IcQo+YKT3KBtm+5Am2J1A99kCS/C0RqYQvA5I4NG5XoAh4pqucVloReNWFxzceLiD4C5Ks/NLdd4Ug463Ano2aJBQA3yGQ72XcCHH0gSHxKXxmW3r6EjRFalzyerC0xyr2bNEJKsQQjrDrqUhlzyx3obuGynbmJjw3tIALWUvkZW2by6GKJKfySv8iJRmAEimZpJvMR/9Jf9W1DfeflWIv4tfXBnu76Zrcb71zuQ/5y73/bMbyvIyJhkGE9y+PDAJec8NJgMY4OTg0uzn2Q8N0kpN4VKvEGTMf0Trt7zUFgddoqysF/MFZwVv3fTvSoORkiZA4tPtryxQ/Om1oj+2AbnbKFraurAL9+Vs446ETg+SiVQ6WAvzbqbAftB9a2tkB5nW99DgG6cz1qu+Y8rVtm03Qjf7dNPnfHEU+Fjy0YBm3DzbHRanpvmGt5yJvQ4u99czxM7gQvlaa+4SrakebBW+f0ew/o5066UAfMzXTimVD4rNLMGwwgsvPj5MUbSPwfEjI59bQtziULYbu++fBCXvJ5cXZsebDfncdFb1VeaJuQy9UtTMF5zJbWXQdrGHvtkYpPK4ayIT5SAYUSWS18iG66svv7nf085JfGgXEZ7iP9WjYXQZrVwtdHehA0O1KunPm3vjteVFs6UqDVfxtGghCY+lb6FL3oA5jmy9oCeEv3kSNufHxKa4kpLs1wY+s+C0tk5kKFKL08fAtuKWObx20GBAimQ0cTM9mxFHiRUGl5D2hUsY9pxX4+K/tXDa/hEDLTR5HeOkEN/Rx8xt8iJu9UBEd7R6asMezu8lrTYDHcYvXwyU+05yVISrc0MHvlWCrsb0ZY0amTxzwsAuD/9qqXYxHcZRERsWDKUo76HsUB9NjpGLn1/EtuYbR9vMNyAnTFuToP/sRAKHVnAwSR4E0JVLrr1K0JXyz+W2pw6heROlVZJtDjQ14Qmi7/e/Tqqm/sHGkJ7OG8V8O1kGLe71gHrykwhc0cbbc4f0s/K9NbZRIEt9vzQedlHgjqsIyB/BkSWH3OPVSHsQAJN//dadgNV+7CWPeHD/kCXl2aOzMirBIAXec/xaqJTrn+WqqOuwOn65urCOWKITgIQ8AgbTgAmRW+/YRPkQaDyVZA0/3U+g87Bq84YVfIxllZ/mFoH/3RMN7zv8Oywiw08eVDG6wf9jz9w35AKu6UGVyKIZTBvnN1WyvKEWLEWnb5oMUrGtQ5jKPkPVdxCeiQygfGr0B00c/f/bzAfE5S/GAI4nzsUFw+tXu/1c7X6fjyLhqz1Iz+/soan8Y0a/ZJ5S3qZcdUsfwZAiYJY77YyneG3frE0O4jxruNuEmIHY5RuZEscffjPquuZ9LxapDHBINAYmqJXMcYTgSlxrmYKqYxFnh6N6ygHLyvFQl6rwuD2x8fVaLsRjRCH835qEkGmQPe+Q4D44I2mjgFfLL0R0h8ELGlYeZEjXKwy2EWA3ZByW+thPHQKEFPynPtE+ZPInOy/sSKsfTKjNg7XxBEf5FPnkXKN6iFE5WjGfdOe1oTaY3zPyyBW3xK9psPOnhLm+q4RngMkG6R4soNkKiLzz3BLv4BJX341QZglMMtdbbYlxxgx1iMUIWxgu5CBveOnvY999boTSR+HW1BhItrtCkCUJKBgf9hRMtmK2zIwiv+5Oz2xX7Vu+/Yc6AzhFJkFnCswLGv/fRkvOQK9tvVB3Sjqp5uBsFIjeI4XSYgUPN/hgsr/7QcYityAw3yeZUJbvqwqlBhTRALIV/Jwh0/3VCSxuuf35rrwMvz4fX37+Yi6c62eq1XrrPLzOasVgwpFyEIXgpMVOHALX4TRv/bKpZxvuYX02qQcMJvD2jtM3OJs2AZgIIPEYsbnM2q7o/1kChV89Fn3WKpvPUseW7zhoA9XEdfiD/wDr1MMYmdLs/LVgVro+g851GPGcoyYVdnUi+AIPMAS+KMKOWmGmoc+FtdGzHMTUJDO7+w0/74GZ/Nw/UH0756br3mAAAA=</t>
  </si>
  <si>
    <t>data:image/webp;base64,UklGRoQSAABXRUJQVlA4WAoAAAAQAAAAXwAAXwAAQUxQSEYGAAABDAVt20gJf9j77whExARwq4XlH2TkgVqZ06Jty5AEnffijW3btm3btm3btm3bts0v21ZXZka8QSOiKtfMb0RMAB3btlXbyvkGKY3MNYLQKQMVcIi8Au6Q0wjdPXR3d3d3dz/7nDFWcPZe+zxKEBETwP9rlYVmEW2zwFOXYy2mTB2/GUOkvYyT3PfAWksY/auU3jVpLWNb79S+CtZWEl7zuvL70ZYKLO5NirGaCW2rG71KqfIzsVZSpvgzxpRi+nZMpGeCFDCO8CqllCrfHiugWgY0m8iIH6c6pphqf90kX6CkMMqeoxJyGet5FVOMKTW+pIRcgVl3V8mGynPvzoRlUh79V4opVX4tmSSwzh/HYfmM7fz7pbEsYdP+82wd/t5jk+aQwP6eZkHzKTP0ebUqw2SQ4YYrYhRRHeP8YbgMEjjJ09smFBR5LdXNRtiQAuz9CyxQZz/dEQlDEeV8/z2dipUwjvc/G98OG1xQhtvjO2dFFxIfbwmqg1LhSu/UvhShRGBhb+ra98RkIA2wzpseM5gk/OkVIMhAit3gncY/HxkpIYzwkTdN7YcRpB8xWOQh92rWlHPtfvMsYNKPMtxd3omVX0OgaOAS76RY+QkEAQymvsK9blIWXDaN950+IQQgMOrD3pdS7euJlVrDqxibjp+LaoAxjvnFY50yV8m/3mt4VANjP+udlKL/PC5SRtjx15iFMW7cPAxbTvksothLS0rEm4cPw7DLazECJe4dlMJhuD0KyBh37HDYixEF8yC0lBLx0CF7vhdFYIxTBitlw/ExqlDiq4gy2w12zlOUn2JSmB33GbSUDnv8IwKUYHbNLp0iZkVLPDdsovjmzU9GAYTJ/+s82zhny9ZiYdtwaoyoQgcbgHXYb9hOy2hgOO59ZkQVWkgPqSbzfN+hAyYFBBZ9NAJl47LQEIJLp6CgMNVlHhOui+upAqqF+PHAUZFMKvP85E2xDiqZ1UHFZHF/dWSRPIGFvBNtL5QeVlBJWTWfDkcmZZLffTAbCTm6/CmEvMKIn3rz/7AT8x2/jpAJ4aXBsAGsQMfxWK7ArV61VKAHKmapJMGOb5vPOMU7JHAVJKdintqXJuTbZSj9CzAP9qRmejRXYFWvzVCBFAI5AVKzfzMGkkuZ06NkYKFKwg6w7y0huzLRb45psA4KqoAgNQFzxR9AswnDfzQUW8uaHSC4RKlchGVDeN4nyC1rWK9gC2yDjr5ficCNXlBSggC2K6rAGpOvW8I40UczJF2CClYA+9HZFySU2LGfTsAqNTvJKf45OZovsIqXBQkQG7bZiPh0RCSfMqejgrJAoZWFDOTmeAkhvzDBL4GK2QwLEKyDWKc2xa2EIsN+EHONFNSwF6xiu8RJWAGE52IyDYt2AxRcssL2ZQI39NECamSAhbSmWI5QwjghRpUFSo8Nsd5Kz4yW2T6KKi3TFVwiC4Ec8dt4SInAijEtVgalQYUOmOJ9K6PMHihUYI1kTVSp6RQPo5QUxvs9oAIuYA0a4BLbJa7CCtkHMWMVl7iGoCKgkjujEMpjMdWopYHGEmukxjiylHFdFFBBBchoAquAmJ3jUEKpi+YRsI7YTwVUwBz+tRtaahPvi2kAECr0KYCK7Rhr/2YEpIzoiFd4HdMgG1LDesXeWHu1PkphgRO8iUMDZUEDV6z9x+VQiktgV4/NQElcLhBdIXb84zkwulCMdfq8alHDJlRWrPyNyTG601jiO58azYS4BhR/eEwC3WrM8l6Ujk4UOsa4blgC3WtM+GKUHjo6meISROnmwCj3eGcAVGqoLHNN4/sRhO5W9BKvYj9LMN1Re9wcE7pdhWO9iQO5AZX/ugJGD0pgR0+N1Nav/LO5MXrTWP9Pn9zg0d+YEqNXh2Gxb6N0oKRKPDgGgd41Zv4kikACs5S4ZRgCvWzs8nyMdkKDKS4eROntwCj3ehXzNNH3Q4VeV8LFXsfBYL32ahNM6H0VjvImJpZg7T8ug9GKEtjR09ygVvyTORiGtjRW/yOm3BhvT47RnsZC30dZ4LLEw2MSaFNj3/ditE6J27Yn0K427PRsjBWmuHjYpLRtYOS7vUoxNo0fiArtq+gl3mnqlLbChDZW4Xjv+O+rYLS0BHbxbxbCaO/AWnNgtHkApd2D8l8TVlA4IBgMAAAQMgCdASpgAGAAPlEgikQjogwHGqocAoJZgDSLKuBf8P+UHPG8ORrnkPHf+f9e3oA8wD9GOkh5gPNo9GfoAf0r/C9YB6AH7AemL+3nwTftr+1Hs+f+jOHf6B2hf078aP2v9Z++x5Y9s/676/Fbhmb+1X4/+2fuN7Ad4Pwi1AvxT+Y/5nwl9gVVr/d+oF7MfXP8R4C2o11Ve4B/NP6d/lPza9a7wBvE/YA/mv9F/3n98/Z7+7fSl/E/9T/Ofmr7SvzL+3f8v/L/kl9gv8l/oP+g/tv+U/8v+I///1M+zX9nPZD/WFoim0ZWXVM8gPTcMqho5gB9DMxLhP21EVML6kuczDBUG186DGINM//y0zdtiStmI17f0ZIJx1SpM/p0hbDnpE6lmT+5+2O1tpKpiAllvbefh3X2JD2gImoW9FRfnju7R3qFl0WDVLthr5K5QiO3NEBgnJuW+bb/kL/xwtt9dYrgpBhbSH0W/ON1iwmWChemBMTrOCc3BXIeGnzR4jIgT1Q4evXxRWhsQs5uPVaohTcMMm8RDt4QAP7/oN2X/7De2jhKx1XxAiO9o3xt02wPi1td/LkMXVmsAdr3jlWNoiLBLEXoWWh5AlxZ/esNyjEMwJAryoXJBsMCAkeOh5RwSEQZQFHJ3qQ9+SWGVXuDv6mWPvTDeFiuDi/bqgopyDfQ9+/nfLRhmUxBfYTSVim/FY4a0ub/E8Xxoqu//laIyfsHzv8UCb22eeDUq4NtOSW7ICSQphx6HWMpnp/ni9rnd4WvDl4rg6458KTxHn2XQFpvNlIooOAKMd3qOS/kirtBK9G3/3+sfJo9j0rPRq00OIDP6QvMHE/bipP2iYtorAGLPxH6LqY3TlsdWWQhaLzzueQCTMsB+Sb+XU5C762Y2R/ymDfNEHSkKPf/N+pLz9SCdoxFwC8jV9mCyy1RSxQ97gtPVf+hWiVf6CVLfPgIIy8WO8EEOStfrW7/Z2KOLW+OlzNc7Q8E4fivKZ9ucuWPwIhl6wxTmn7wRpwAn86iECKhFf4vHg6qnts4IVvt5psmDZpFhX51+Ha4lAAg45XbVubi9W13/7Xvc/VZd+v7Ghfg4sBWNcQNq0sfqCAt3vkT/KWeG2MAgJ/F36JZkGeXKaAgc+gl4mkNHuTHGtbkTUoWu/giKuo2CTuQOYAV5H2ti4MMMiJEDbJTgI8Vany3ei+RReFrg7EntVgwvxS9YigQ3OGsuHX+JsFKQyJ31dhdSYbyDBouBbJrpN6OrW0Q12VSG3zCCDRVOmwr4qpqnp8/G/M7QwhYy1BjpkPmvAZq2/KLkfuywTvCSgmPtZYuHkr2mEDtUwStJRttkku9Hiz5TyzK179RkrEcqo6dJ2y9/5j4GbCmGEda7lDsOLx6a/y51wJREfH3oYuxs093QIbP8Zyoa3+EN1+LUefbYBxy4wGNFSkggPhIaVNLjqEICHLpxa4I5jwsBYuUnDmxN6jxF0+ExNVQvdWu2uEYtN3jo1jZ//AuEvDvzeasjzUI/i9+xH4pRO/h+Q8ARUneZv43RLgW6wIj/9P6heQ87CEVDbJlkwl/wbkN4zfdsiHOzLZMte88M//pigdRxFp4wMGqqfyr3kUzw86wvMKitJLZ976pxx02uvFRll5LirKoFZzCPn85OJtTOvuNsTcvp3NLGTjEgIq97LBWN+7eXq+o67nFKiG7Xmgejw/x7x9NjT/YhIIbhsQSGTsHPfmJx9ZvNitQ2Oc3mW68nwL34FvwZfZ+2ODScAQN6C6wcHzhN1fSxRD/N1bLS0eaf8rH/CZTU1CVpyi2X+BcxU3ZOAKvfZ2WQF9etbUw7jpMNHAnLlWmvSZziOvONWvprBc/knabFDk3BgVwc4nse22XAxbeiInQX8XKYeC2zoNm3UurBpd31UmDyoBEUpe2TZNPi70YvBuHaKb4XGi71nlcL3JSpyce4isfPwwQGgdBdNKv4U/2r9Fy1TF7tLYB0Kgc7wmm22f8GK4Wiw0SDX+3lgm51OL/D9TqX3G7CcFXhw4/vvzqXNVf5wjayIm7sILNkt28tyCjSVJ+MeIIBowF/vKkhVMv+OwdwZUx59nXYHSxZRJJYg7SQ0ib7dkQReGS0yEK3AXOO+W2XRHku0u/GHUnNvewo/uo+JuqFi9flntSWg/8GlmHr41+2ipmd5g/LG3ZiR/kc/Uma6JuS0rBB08ZK3bnENSM8yETIKTemqZxly50TeQN84LT94Z02j96n5ABCaPq8IkVzmcIq7E0U4Z33i7ILXF8NfYhXEngrO/85CeQAqvtHRXd/Im9eC3IUimarvn8Sou8qhkc2CD1tnauy1qyP6VscTTE8y6+r2L+Y5dN4VK3v9+S7wYox/7q2f3eny7xGtxUTX0elTrUEBWmQnz3+9M/jDvtvG7CCpLpR6bY85PlWx9AGYfvXmX7Kx+GiG52oUlEZSEfUj/mJ1ktsSGcCQffuur/4hoeYObJtw/fMqtKKMWQTBEQL9bWVdQ/xu2VPZ4UrVMd/+MfpXaNkuxZlk50Fm//5OqVfnbdG+11FqV7xHBox8ineB+RmIOHiui30n1L23XLjdTblAMyFMnz39nq24N+vGyaVrYZYfN/iffiUhNFqDtXpyoOOiSRpxV5XpCXwf+UA8lcO6H8Z6X8MsbpNZfqR3TE3cIY0PyN0tmNjUoUNbVS8AUdbUck9+ex71tvVUgSDLkfh4Vq2MHsBntaovek97gnTDNKHsQV5vQfFW2GYwHxEv4RHD5mSmQynl1Qv3kt8QTWpllJA+vX2SFNv5gWGBiVDBv9hzPUBbKYOaejkJwggjcc3yz9ElLEa6iUHwxKe59fBMZKi7LizUQVF4l/lYl8rEph+O0+mAdGN1VqhU8ZP3GmlF1zeWMAJ9gf3IfhOF16VqTBSlXnmccchorR3YH5yPF+f0Klhtw4qIOistGiJADyAvV384r7lgI1YuHsjYZzdI4YexZk30WqSjRkqvm4HOeIMIsEqjHb0weakaU3owA1AuMvw8KW6Ko7z3eo29cjGmTRdxO2JTA9UIBwFAziIeOOqB8PpcltO5qqLyMSz4bqne1Mk0ZwYXmBqs9K5pIjyKalkq4QT7glkZBFhTgijo6LIeMd+imvf3loPhs5Pm3wjBDBWTFi2NsZ7a5rR1cvn5yl4D5WeofX3B+X6+GDRmw57Z/nISzkUMc0I0TjaJ5f4DD48PhyCyK05JQIbn1ZlDsCvP5rlhhMeIwX4RONTSi7NRN89lzsPan5F0abbBv7Scd34ogh6+GiJeEPcysb7e/3wmktqcf95uYgid6nV4vVX0Jq7WDMTahZFR3SMih+XJdvkcW1G9EThhY5jgNaHTay9xLMHOz40l9KAy7tIzX6XX//09clu2Fmkz4niXDR7L8BG4QoPZPthpb0+FekYvUkfeTy1rwy5075Crkbft+TZhq2io8e1OwMX/dls+lF6kPkga9TKWLRkoc/stQtNRwb8NTZLB6e3TFpHREuth4QVeGjS7HGYeZezvQxigg9D9rOhGZ/L+fYQd5C69IJ80CYVGDIkjnt44cZrSRk8xrSzpHK+CJaWPWRh1Vs9VrwmQzwkV/7eIRAQro98bvBotw2zuye/hJgdZtMvP7QS8G0uzesZ6jqx8zLp5rOl0cNAbtWYaj9zn2oA88kLcBZ3TjIHk5K7J1Vw6iI/qlX5W/A4RA0o7dpqpxP/RpvPl2X+GNk2vXPBpiT76DSB458/UdsqL5fGWgH246cpEXJ77bslKA8bivwWqW5NrBtv59HgEm6unO+/NdPL3q6Z2dPyTHiYLkx0RtFrLKUUtq/GEe+rkW0l8kARBk+ty8RRmSWhJufz5Oim4p82HLDigagZeyAJHzwgSLPvka6Q+ALEDlLZdYDFDYz6TmWmmoMrxcqATUjHeZKCMca17nJgYQjM4M7NEMfOUy/nsCgmmTMJ+TyyJ3PDQYEMEBlc6//oi6gaYlXpsbmUHZjPpzpwELzar/GkOR5sJsQ3xWyO4dMjfoTns4BhjclUs3QqsbvpisnGajdbJ2YpbQSvlWTehNhNm0rnAJG2lfesFKjQ6+3kYv9MMnyU1snjYqUGxoq1c1jtP8k5//9ZJ//6xX///rAFq/FdgAAAAA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</si>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</sst>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>
    <font>
      <sz val="11"/>
      <name val="Carlito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44" fontId="2" fillId="0" borderId="0" xfId="0" applyNumberFormat="1" applyFont="1"/>
    <xf numFmtId="0" fontId="2" fillId="0" borderId="0" xfId="0" applyFont="1" applyAlignment="1">
      <alignment horizontal="left" vertical="top" wrapText="1"/>
    </xf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31B-008C-A346-A868-E30720DF30C2}">
  <dimension ref="A1:X11"/>
  <sheetViews>
    <sheetView tabSelected="1" zoomScale="115" zoomScaleNormal="170" workbookViewId="0">
      <selection sqref="A1:H1"/>
    </sheetView>
  </sheetViews>
  <sheetFormatPr defaultColWidth="11" defaultRowHeight="13.5"/>
  <cols>
    <col min="1" max="1" width="27" bestFit="1" customWidth="1"/>
    <col min="2" max="2" width="13" bestFit="1" customWidth="1"/>
    <col min="3" max="3" width="23" bestFit="1" customWidth="1"/>
    <col min="4" max="4" width="19" bestFit="1" customWidth="1"/>
    <col min="5" max="5" width="21" bestFit="1" customWidth="1"/>
    <col min="6" max="6" width="15.3125" bestFit="1" customWidth="1"/>
    <col min="7" max="7" width="13.5" bestFit="1" customWidth="1"/>
    <col min="8" max="8" width="25.5" bestFit="1" customWidth="1"/>
    <col min="9" max="9" width="16" bestFit="1" customWidth="1"/>
    <col min="10" max="10" width="13.6875" bestFit="1" customWidth="1"/>
    <col min="11" max="11" width="13.3125" bestFit="1" customWidth="1"/>
    <col min="12" max="12" width="16.8125" bestFit="1" customWidth="1"/>
    <col min="13" max="13" width="14.1875" bestFit="1" customWidth="1"/>
    <col min="14" max="14" width="16" bestFit="1" customWidth="1"/>
    <col min="15" max="16" width="21.8125" bestFit="1" customWidth="1"/>
    <col min="17" max="17" width="20.8125" bestFit="1" customWidth="1"/>
    <col min="18" max="18" width="41" customWidth="1"/>
    <col min="19" max="19" width="34.1875" bestFit="1" customWidth="1"/>
    <col min="20" max="20" width="34.1875" customWidth="1"/>
    <col min="21" max="21" width="14.3125" bestFit="1" customWidth="1"/>
    <col min="22" max="22" width="16" bestFit="1" customWidth="1"/>
    <col min="23" max="23" width="16" customWidth="1"/>
    <col min="24" max="24" width="11.5" customWidth="1"/>
  </cols>
  <sheetData>
    <row r="1" spans="1:24" ht="15">
      <c r="A1" s="8" t="s">
        <v>50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53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60</v>
      </c>
      <c r="T2" s="1" t="s">
        <v>61</v>
      </c>
      <c r="U2" s="1" t="s">
        <v>51</v>
      </c>
      <c r="V2" s="1" t="s">
        <v>52</v>
      </c>
      <c r="W2" s="1" t="s">
        <v>82</v>
      </c>
      <c r="X2" s="1" t="s">
        <v>17</v>
      </c>
    </row>
    <row r="3" spans="1:24" ht="13.9">
      <c r="A3" s="1" t="s">
        <v>73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81</v>
      </c>
      <c r="I3" s="1">
        <v>3437201</v>
      </c>
      <c r="J3" s="1">
        <v>42435</v>
      </c>
      <c r="K3" s="1">
        <v>42445</v>
      </c>
      <c r="L3" s="3">
        <f>J3/K3</f>
        <v>0.9997644009895158</v>
      </c>
      <c r="M3" s="2">
        <v>47.88</v>
      </c>
      <c r="N3" s="4">
        <f>H3*J3*M3</f>
        <v>164574811.80000001</v>
      </c>
      <c r="O3" s="4">
        <v>3900000000</v>
      </c>
      <c r="P3" s="4">
        <f>S3*N3</f>
        <v>3900000000</v>
      </c>
      <c r="Q3" s="4">
        <v>3900000000</v>
      </c>
      <c r="R3" s="1" t="s">
        <v>24</v>
      </c>
      <c r="S3" s="6">
        <f>Q3/N3</f>
        <v>23.697429499354286</v>
      </c>
      <c r="T3" s="6" t="s">
        <v>62</v>
      </c>
      <c r="U3" s="12">
        <v>32.707535</v>
      </c>
      <c r="V3" s="1">
        <v>-117.157516</v>
      </c>
      <c r="W3" s="1" t="s">
        <v>83</v>
      </c>
      <c r="X3" s="5" t="s">
        <v>92</v>
      </c>
    </row>
    <row r="4" spans="1:24" ht="13.9">
      <c r="A4" s="1" t="s">
        <v>74</v>
      </c>
      <c r="B4" s="1" t="s">
        <v>25</v>
      </c>
      <c r="C4" s="1" t="s">
        <v>26</v>
      </c>
      <c r="D4" s="1" t="s">
        <v>20</v>
      </c>
      <c r="E4" s="1" t="s">
        <v>27</v>
      </c>
      <c r="F4" s="1" t="s">
        <v>22</v>
      </c>
      <c r="G4" s="1" t="s">
        <v>23</v>
      </c>
      <c r="H4" s="1">
        <v>17</v>
      </c>
      <c r="I4" s="1">
        <f t="shared" ref="I4:I11" si="0">J4*H4</f>
        <v>403937</v>
      </c>
      <c r="J4" s="1">
        <v>23761</v>
      </c>
      <c r="K4" s="1">
        <v>35000</v>
      </c>
      <c r="L4" s="3">
        <f t="shared" ref="L4:L11" si="1">J4/K4</f>
        <v>0.67888571428571431</v>
      </c>
      <c r="M4" s="2">
        <v>68.25</v>
      </c>
      <c r="N4" s="4">
        <f t="shared" ref="N4:N11" si="2">H4*J4*M4</f>
        <v>27568700.25</v>
      </c>
      <c r="O4" s="4">
        <v>765000000</v>
      </c>
      <c r="P4" s="4">
        <v>765000000</v>
      </c>
      <c r="Q4" s="4">
        <v>765000000</v>
      </c>
      <c r="R4" s="1" t="s">
        <v>28</v>
      </c>
      <c r="S4" s="6">
        <f>O4/N4</f>
        <v>27.748859868720142</v>
      </c>
      <c r="T4" s="6" t="s">
        <v>62</v>
      </c>
      <c r="U4" s="12">
        <v>32.784439999999996</v>
      </c>
      <c r="V4" s="1">
        <v>-117.12282999999999</v>
      </c>
      <c r="W4" s="1" t="s">
        <v>84</v>
      </c>
      <c r="X4" s="5" t="s">
        <v>92</v>
      </c>
    </row>
    <row r="5" spans="1:24" ht="13.9">
      <c r="A5" s="1" t="s">
        <v>75</v>
      </c>
      <c r="B5" s="1" t="s">
        <v>29</v>
      </c>
      <c r="C5" s="1" t="s">
        <v>30</v>
      </c>
      <c r="D5" s="1" t="s">
        <v>20</v>
      </c>
      <c r="E5" s="1" t="s">
        <v>27</v>
      </c>
      <c r="F5" s="1" t="s">
        <v>22</v>
      </c>
      <c r="G5" s="1" t="s">
        <v>23</v>
      </c>
      <c r="H5" s="1">
        <v>15</v>
      </c>
      <c r="I5" s="1">
        <f t="shared" si="0"/>
        <v>186765</v>
      </c>
      <c r="J5" s="1">
        <v>12451</v>
      </c>
      <c r="K5" s="1">
        <v>35000</v>
      </c>
      <c r="L5" s="3">
        <f t="shared" si="1"/>
        <v>0.35574285714285714</v>
      </c>
      <c r="M5" s="2">
        <v>45.23</v>
      </c>
      <c r="N5" s="4">
        <f t="shared" si="2"/>
        <v>8447380.9499999993</v>
      </c>
      <c r="O5" s="4">
        <v>225000000</v>
      </c>
      <c r="P5" s="4">
        <v>225000000</v>
      </c>
      <c r="Q5" s="4">
        <v>225000000</v>
      </c>
      <c r="R5" s="1" t="s">
        <v>31</v>
      </c>
      <c r="S5" s="6">
        <f>O5/N5</f>
        <v>26.635474513553223</v>
      </c>
      <c r="T5" s="6" t="s">
        <v>63</v>
      </c>
      <c r="U5" s="12">
        <v>32.784439999999996</v>
      </c>
      <c r="V5" s="1">
        <v>-117.12282999999999</v>
      </c>
      <c r="W5" s="1" t="s">
        <v>85</v>
      </c>
      <c r="X5" s="5" t="s">
        <v>92</v>
      </c>
    </row>
    <row r="6" spans="1:24" ht="13.9">
      <c r="A6" s="1" t="s">
        <v>76</v>
      </c>
      <c r="B6" s="1" t="s">
        <v>32</v>
      </c>
      <c r="C6" s="1" t="s">
        <v>33</v>
      </c>
      <c r="D6" s="1" t="s">
        <v>34</v>
      </c>
      <c r="E6" s="1" t="s">
        <v>41</v>
      </c>
      <c r="F6" s="1" t="s">
        <v>42</v>
      </c>
      <c r="G6" s="1" t="s">
        <v>23</v>
      </c>
      <c r="H6" s="1">
        <v>9</v>
      </c>
      <c r="I6" s="1">
        <f t="shared" si="0"/>
        <v>59544</v>
      </c>
      <c r="J6" s="1">
        <v>6616</v>
      </c>
      <c r="K6" s="1">
        <v>7500</v>
      </c>
      <c r="L6" s="3">
        <f t="shared" si="1"/>
        <v>0.88213333333333332</v>
      </c>
      <c r="M6" s="2">
        <v>22.5</v>
      </c>
      <c r="N6" s="4">
        <f t="shared" si="2"/>
        <v>1339740</v>
      </c>
      <c r="O6" s="4" t="s">
        <v>59</v>
      </c>
      <c r="P6" s="4">
        <f>S6*N6</f>
        <v>34869754.114257276</v>
      </c>
      <c r="Q6" s="4">
        <f>P6</f>
        <v>34869754.114257276</v>
      </c>
      <c r="R6" s="1" t="s">
        <v>65</v>
      </c>
      <c r="S6" s="6">
        <f>AVERAGE($S$3:$S$5)</f>
        <v>26.027254627209217</v>
      </c>
      <c r="T6" s="6" t="s">
        <v>64</v>
      </c>
      <c r="U6" s="12">
        <v>32.755299999999998</v>
      </c>
      <c r="V6" s="1">
        <v>-117.2122</v>
      </c>
      <c r="W6" s="9" t="s">
        <v>91</v>
      </c>
      <c r="X6" s="5" t="s">
        <v>92</v>
      </c>
    </row>
    <row r="7" spans="1:24" ht="13.9">
      <c r="A7" s="1" t="s">
        <v>77</v>
      </c>
      <c r="B7" s="1" t="s">
        <v>36</v>
      </c>
      <c r="C7" s="1" t="s">
        <v>37</v>
      </c>
      <c r="D7" s="1" t="s">
        <v>34</v>
      </c>
      <c r="E7" s="1" t="s">
        <v>38</v>
      </c>
      <c r="F7" s="1" t="s">
        <v>22</v>
      </c>
      <c r="G7" s="1" t="s">
        <v>54</v>
      </c>
      <c r="H7" s="1">
        <v>14</v>
      </c>
      <c r="I7" s="1">
        <f t="shared" si="0"/>
        <v>16800</v>
      </c>
      <c r="J7" s="1">
        <v>1200</v>
      </c>
      <c r="K7" s="1">
        <v>12414</v>
      </c>
      <c r="L7" s="3">
        <f t="shared" si="1"/>
        <v>9.6665055582406956E-2</v>
      </c>
      <c r="M7" s="2">
        <v>40.5</v>
      </c>
      <c r="N7" s="4">
        <f t="shared" si="2"/>
        <v>680400</v>
      </c>
      <c r="O7" s="4" t="s">
        <v>59</v>
      </c>
      <c r="P7" s="4">
        <f>S7*N7</f>
        <v>17708944.04835315</v>
      </c>
      <c r="Q7" s="4">
        <f>P7</f>
        <v>17708944.04835315</v>
      </c>
      <c r="R7" s="1" t="s">
        <v>65</v>
      </c>
      <c r="S7" s="6">
        <f t="shared" ref="S7:S9" si="3">AVERAGE($S$3:$S$5)</f>
        <v>26.027254627209217</v>
      </c>
      <c r="T7" s="6" t="s">
        <v>64</v>
      </c>
      <c r="U7" s="12">
        <v>32.773879999999998</v>
      </c>
      <c r="V7" s="1">
        <v>-117.07483999999999</v>
      </c>
      <c r="W7" s="10" t="s">
        <v>86</v>
      </c>
      <c r="X7" s="5" t="s">
        <v>92</v>
      </c>
    </row>
    <row r="8" spans="1:24" ht="13.9">
      <c r="A8" s="1" t="s">
        <v>78</v>
      </c>
      <c r="B8" s="1" t="s">
        <v>39</v>
      </c>
      <c r="C8" s="1" t="s">
        <v>40</v>
      </c>
      <c r="D8" s="1" t="s">
        <v>34</v>
      </c>
      <c r="E8" s="1" t="s">
        <v>41</v>
      </c>
      <c r="F8" s="1" t="s">
        <v>42</v>
      </c>
      <c r="G8" s="1" t="s">
        <v>23</v>
      </c>
      <c r="H8" s="1">
        <v>12</v>
      </c>
      <c r="I8" s="1">
        <f t="shared" si="0"/>
        <v>42948</v>
      </c>
      <c r="J8" s="1">
        <v>3579</v>
      </c>
      <c r="K8" s="1">
        <v>7500</v>
      </c>
      <c r="L8" s="3">
        <f t="shared" si="1"/>
        <v>0.47720000000000001</v>
      </c>
      <c r="M8" s="2">
        <v>28.16</v>
      </c>
      <c r="N8" s="4">
        <f t="shared" si="2"/>
        <v>1209415.6799999999</v>
      </c>
      <c r="O8" s="4" t="s">
        <v>59</v>
      </c>
      <c r="P8" s="4">
        <f>N8*S8</f>
        <v>31477769.853499379</v>
      </c>
      <c r="Q8" s="4">
        <f>P8</f>
        <v>31477769.853499379</v>
      </c>
      <c r="R8" s="1" t="s">
        <v>65</v>
      </c>
      <c r="S8" s="6">
        <f t="shared" si="3"/>
        <v>26.027254627209217</v>
      </c>
      <c r="T8" s="6" t="s">
        <v>64</v>
      </c>
      <c r="U8" s="12">
        <v>33.191099999999999</v>
      </c>
      <c r="V8" s="1">
        <v>-117.3147</v>
      </c>
      <c r="W8" s="10" t="s">
        <v>87</v>
      </c>
      <c r="X8" s="5" t="s">
        <v>92</v>
      </c>
    </row>
    <row r="9" spans="1:24" ht="13.9">
      <c r="A9" s="1" t="s">
        <v>79</v>
      </c>
      <c r="B9" s="1" t="s">
        <v>43</v>
      </c>
      <c r="C9" s="1" t="s">
        <v>44</v>
      </c>
      <c r="D9" s="1" t="s">
        <v>34</v>
      </c>
      <c r="E9" s="1" t="s">
        <v>41</v>
      </c>
      <c r="F9" s="1" t="s">
        <v>42</v>
      </c>
      <c r="G9" s="1" t="s">
        <v>23</v>
      </c>
      <c r="H9" s="1">
        <v>8</v>
      </c>
      <c r="I9" s="1">
        <f t="shared" si="0"/>
        <v>28720</v>
      </c>
      <c r="J9" s="1">
        <v>3590</v>
      </c>
      <c r="K9" s="1">
        <v>7500</v>
      </c>
      <c r="L9" s="3">
        <f t="shared" si="1"/>
        <v>0.47866666666666668</v>
      </c>
      <c r="M9" s="2">
        <v>26.25</v>
      </c>
      <c r="N9" s="4">
        <f t="shared" si="2"/>
        <v>753900</v>
      </c>
      <c r="O9" s="4" t="s">
        <v>59</v>
      </c>
      <c r="P9" s="4">
        <v>2365725.6</v>
      </c>
      <c r="Q9" s="4">
        <f>P9</f>
        <v>2365725.6</v>
      </c>
      <c r="R9" s="1" t="s">
        <v>71</v>
      </c>
      <c r="S9" s="6">
        <f t="shared" si="3"/>
        <v>26.027254627209217</v>
      </c>
      <c r="T9" s="6" t="s">
        <v>64</v>
      </c>
      <c r="U9" s="12">
        <v>33.191099999999999</v>
      </c>
      <c r="V9" s="1">
        <v>-117.3147</v>
      </c>
      <c r="W9" s="10" t="s">
        <v>88</v>
      </c>
      <c r="X9" s="5" t="s">
        <v>92</v>
      </c>
    </row>
    <row r="10" spans="1:24" ht="13.9">
      <c r="A10" s="1" t="s">
        <v>80</v>
      </c>
      <c r="B10" s="1" t="s">
        <v>45</v>
      </c>
      <c r="C10" s="1" t="s">
        <v>46</v>
      </c>
      <c r="D10" s="1" t="s">
        <v>47</v>
      </c>
      <c r="E10" s="1" t="s">
        <v>35</v>
      </c>
      <c r="F10" s="1" t="s">
        <v>22</v>
      </c>
      <c r="G10" s="1" t="s">
        <v>23</v>
      </c>
      <c r="H10" s="1">
        <v>36</v>
      </c>
      <c r="I10" s="1">
        <f t="shared" si="0"/>
        <v>275076</v>
      </c>
      <c r="J10" s="1">
        <v>7641</v>
      </c>
      <c r="K10" s="1">
        <v>12920</v>
      </c>
      <c r="L10" s="3">
        <f t="shared" si="1"/>
        <v>0.59140866873065012</v>
      </c>
      <c r="M10" s="2">
        <v>31.45</v>
      </c>
      <c r="N10" s="4">
        <f t="shared" si="2"/>
        <v>8651140.1999999993</v>
      </c>
      <c r="O10" s="4" t="s">
        <v>59</v>
      </c>
      <c r="P10" s="4">
        <v>17558400</v>
      </c>
      <c r="Q10" s="4">
        <v>17558400</v>
      </c>
      <c r="R10" s="1" t="s">
        <v>71</v>
      </c>
      <c r="S10" s="7" t="s">
        <v>59</v>
      </c>
      <c r="T10" s="6" t="s">
        <v>64</v>
      </c>
      <c r="U10" s="12">
        <v>33.191099999999999</v>
      </c>
      <c r="V10" s="1">
        <v>-117.3147</v>
      </c>
      <c r="W10" s="10" t="s">
        <v>89</v>
      </c>
      <c r="X10" s="5" t="s">
        <v>92</v>
      </c>
    </row>
    <row r="11" spans="1:24" ht="13.9">
      <c r="A11" s="1" t="s">
        <v>81</v>
      </c>
      <c r="B11" s="1" t="s">
        <v>48</v>
      </c>
      <c r="C11" s="1" t="s">
        <v>49</v>
      </c>
      <c r="D11" s="1" t="s">
        <v>47</v>
      </c>
      <c r="E11" s="1" t="s">
        <v>41</v>
      </c>
      <c r="F11" s="1" t="s">
        <v>42</v>
      </c>
      <c r="G11" s="1" t="s">
        <v>23</v>
      </c>
      <c r="H11" s="1">
        <v>25</v>
      </c>
      <c r="I11" s="1">
        <f t="shared" si="0"/>
        <v>62500</v>
      </c>
      <c r="J11" s="1">
        <v>2500</v>
      </c>
      <c r="K11" s="1">
        <v>7500</v>
      </c>
      <c r="L11" s="3">
        <f t="shared" si="1"/>
        <v>0.33333333333333331</v>
      </c>
      <c r="M11" s="2">
        <v>20.399999999999999</v>
      </c>
      <c r="N11" s="4">
        <f t="shared" si="2"/>
        <v>1275000</v>
      </c>
      <c r="O11" s="4" t="s">
        <v>59</v>
      </c>
      <c r="P11" s="4">
        <v>5926200</v>
      </c>
      <c r="Q11" s="4">
        <v>5926200</v>
      </c>
      <c r="R11" s="1" t="s">
        <v>71</v>
      </c>
      <c r="S11" s="7" t="s">
        <v>59</v>
      </c>
      <c r="T11" s="6" t="s">
        <v>64</v>
      </c>
      <c r="U11" s="12">
        <v>33.191099999999999</v>
      </c>
      <c r="V11" s="1">
        <v>-117.3147</v>
      </c>
      <c r="W11" s="10" t="s">
        <v>90</v>
      </c>
      <c r="X11" s="1" t="s">
        <v>92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5B54-3CD9-6B40-8F20-B624902B41D7}">
  <dimension ref="A1:B5"/>
  <sheetViews>
    <sheetView zoomScale="130" zoomScaleNormal="130" workbookViewId="0"/>
  </sheetViews>
  <sheetFormatPr defaultColWidth="11" defaultRowHeight="13.5"/>
  <cols>
    <col min="1" max="1" width="23.8125" bestFit="1" customWidth="1"/>
    <col min="2" max="2" width="130.5625" bestFit="1" customWidth="1"/>
  </cols>
  <sheetData>
    <row r="1" spans="1:2" ht="15.4">
      <c r="A1" s="11" t="s">
        <v>56</v>
      </c>
      <c r="B1" s="11" t="s">
        <v>57</v>
      </c>
    </row>
    <row r="2" spans="1:2" ht="15.4">
      <c r="A2" s="11" t="s">
        <v>55</v>
      </c>
      <c r="B2" s="11" t="s">
        <v>58</v>
      </c>
    </row>
    <row r="3" spans="1:2" ht="15.4">
      <c r="A3" s="11" t="s">
        <v>67</v>
      </c>
      <c r="B3" s="11" t="s">
        <v>68</v>
      </c>
    </row>
    <row r="4" spans="1:2" ht="15.4">
      <c r="A4" s="11" t="s">
        <v>66</v>
      </c>
      <c r="B4" s="11" t="s">
        <v>69</v>
      </c>
    </row>
    <row r="5" spans="1:2" ht="15.4">
      <c r="A5" s="11" t="s">
        <v>70</v>
      </c>
      <c r="B5" s="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 Data</vt:lpstr>
      <vt:lpstr>Valuation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Kinsella</cp:lastModifiedBy>
  <dcterms:created xsi:type="dcterms:W3CDTF">2026-09-13T21:14:14Z</dcterms:created>
  <dcterms:modified xsi:type="dcterms:W3CDTF">2026-09-13T21:18:41Z</dcterms:modified>
</cp:coreProperties>
</file>